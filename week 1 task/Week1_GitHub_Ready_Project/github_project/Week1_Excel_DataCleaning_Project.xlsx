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Raw_Data" sheetId="2" state="visible" r:id="rId4"/>
    <sheet name="Cleaned_Data" sheetId="3" state="visible" r:id="rId5"/>
    <sheet name="Analysis" sheetId="4" state="visible" r:id="rId6"/>
    <sheet name="Chart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<sst xmlns="http://schemas.openxmlformats.org/spreadsheetml/2006/main" count="3065" uniqueCount="627">
  <si>
    <t xml:space="preserve">Week 1 — Excel &amp; Data Cleaning: Practice Questions + Course Project</t>
  </si>
  <si>
    <t xml:space="preserve">Data Analyst Course — Codec Technologies</t>
  </si>
  <si>
    <t xml:space="preserve">This workbook completes the Week 1 practice set and the course project.</t>
  </si>
  <si>
    <t xml:space="preserve">Dataset: a synthetic Global-Superstore-style sales dataset (180 cleaned rows, 3 years, 2023-2025),</t>
  </si>
  <si>
    <t xml:space="preserve">built to match the columns needed by every task below.</t>
  </si>
  <si>
    <t xml:space="preserve">PRACTICE QUESTIONS (practice_set.pdf):</t>
  </si>
  <si>
    <t xml:space="preserve">  1. Remove duplicates / handle missing values  -&gt; see "Raw_Data" and "Cleaned_Data" tabs</t>
  </si>
  <si>
    <t xml:space="preserve">  2. Pivot Table: region-wise sales              -&gt; "Analysis" tab, Task 2</t>
  </si>
  <si>
    <t xml:space="preserve">  3. Mean, median, mode via formulas              -&gt; "Analysis" tab, Task 3</t>
  </si>
  <si>
    <t xml:space="preserve">  4. Conditional formatting: top 10 sales          -&gt; "Cleaned_Data" tab, Sales column (red highlight)</t>
  </si>
  <si>
    <t xml:space="preserve">  5. Bar chart: category-wise revenue             -&gt; "Charts" tab</t>
  </si>
  <si>
    <t xml:space="preserve">COURSE PROJECT (week_1_1.pdf) — Pivot Table Dashboard:</t>
  </si>
  <si>
    <t xml:space="preserve">  - Total Revenue            -&gt; "Analysis" tab</t>
  </si>
  <si>
    <t xml:space="preserve">  - Sales by Category        -&gt; "Analysis" tab (same as Task 5)</t>
  </si>
  <si>
    <t xml:space="preserve">  - Yearly Sales Trends      -&gt; "Analysis" tab + line chart on "Charts" tab</t>
  </si>
  <si>
    <t xml:space="preserve">  - Department-wise Revenue  -&gt; "Analysis" tab + bar chart on "Charts" tab</t>
  </si>
  <si>
    <t xml:space="preserve">All totals are live formulas (SUMIF / AVERAGE / MEDIAN / MODE.SNGL) referencing the</t>
  </si>
  <si>
    <t xml:space="preserve">Cleaned_Data tab, so they recalculate automatically if the underlying data changes.</t>
  </si>
  <si>
    <t xml:space="preserve">Note on the dataset link in the course PDF: the QR/PDF pointed to a GitHub-hosted</t>
  </si>
  <si>
    <t xml:space="preserve">Superstore workbook that could not be downloaded in this environment (no live network</t>
  </si>
  <si>
    <t xml:space="preserve">access), so a representative dataset with the same structure was generated instead.</t>
  </si>
  <si>
    <t xml:space="preserve">Swap in the real file on the Raw_Data tab and every formula/chart will recompute.</t>
  </si>
  <si>
    <t xml:space="preserve">RAW DATA (as exported) — contains duplicates and missing values</t>
  </si>
  <si>
    <t xml:space="preserve">Order ID</t>
  </si>
  <si>
    <t xml:space="preserve">Order Date</t>
  </si>
  <si>
    <t xml:space="preserve">Customer Name</t>
  </si>
  <si>
    <t xml:space="preserve">Region</t>
  </si>
  <si>
    <t xml:space="preserve">Category</t>
  </si>
  <si>
    <t xml:space="preserve">Sub-Category</t>
  </si>
  <si>
    <t xml:space="preserve">Product Name</t>
  </si>
  <si>
    <t xml:space="preserve">Department</t>
  </si>
  <si>
    <t xml:space="preserve">Quantity</t>
  </si>
  <si>
    <t xml:space="preserve">Sales</t>
  </si>
  <si>
    <t xml:space="preserve">Discount</t>
  </si>
  <si>
    <t xml:space="preserve">Profit</t>
  </si>
  <si>
    <t xml:space="preserve">Note:</t>
  </si>
  <si>
    <t xml:space="preserve">ORD-1166</t>
  </si>
  <si>
    <t xml:space="preserve">2025-04-11</t>
  </si>
  <si>
    <t xml:space="preserve">Rohan Mehta</t>
  </si>
  <si>
    <t xml:space="preserve">East</t>
  </si>
  <si>
    <t xml:space="preserve">Technology</t>
  </si>
  <si>
    <t xml:space="preserve">Machines</t>
  </si>
  <si>
    <t xml:space="preserve">Machines Model 131</t>
  </si>
  <si>
    <t xml:space="preserve">Corporate</t>
  </si>
  <si>
    <t xml:space="preserve">This tab mirrors the raw export: 12 duplicate rows and blanks in Customer Name / Quantity / Sales were intentionally left in place so the cleaning steps on the Cleaned_Data tab are visible.</t>
  </si>
  <si>
    <t xml:space="preserve">ORD-1156</t>
  </si>
  <si>
    <t xml:space="preserve">2025-11-21</t>
  </si>
  <si>
    <t xml:space="preserve">Aarav Sharma</t>
  </si>
  <si>
    <t xml:space="preserve">South</t>
  </si>
  <si>
    <t xml:space="preserve">Office Supplies</t>
  </si>
  <si>
    <t xml:space="preserve">Binders</t>
  </si>
  <si>
    <t xml:space="preserve">Binders Model 101</t>
  </si>
  <si>
    <t xml:space="preserve">Consumer</t>
  </si>
  <si>
    <t xml:space="preserve">ORD-1064</t>
  </si>
  <si>
    <t xml:space="preserve">2024-10-22</t>
  </si>
  <si>
    <t xml:space="preserve">Machines Model 561</t>
  </si>
  <si>
    <t xml:space="preserve">ORD-1136</t>
  </si>
  <si>
    <t xml:space="preserve">2025-07-08</t>
  </si>
  <si>
    <t xml:space="preserve">Sanjay Reddy</t>
  </si>
  <si>
    <t xml:space="preserve">Phones</t>
  </si>
  <si>
    <t xml:space="preserve">Phones Model 739</t>
  </si>
  <si>
    <t xml:space="preserve">ORD-1176</t>
  </si>
  <si>
    <t xml:space="preserve">2024-04-06</t>
  </si>
  <si>
    <t xml:space="preserve">Aditya Joshi</t>
  </si>
  <si>
    <t xml:space="preserve">West</t>
  </si>
  <si>
    <t xml:space="preserve">Furniture</t>
  </si>
  <si>
    <t xml:space="preserve">Bookcases</t>
  </si>
  <si>
    <t xml:space="preserve">Bookcases Model 966</t>
  </si>
  <si>
    <t xml:space="preserve">ORD-1090</t>
  </si>
  <si>
    <t xml:space="preserve">2024-05-04</t>
  </si>
  <si>
    <t xml:space="preserve">Karan Malhotra</t>
  </si>
  <si>
    <t xml:space="preserve">North</t>
  </si>
  <si>
    <t xml:space="preserve">Machines Model 144</t>
  </si>
  <si>
    <t xml:space="preserve">ORD-1082</t>
  </si>
  <si>
    <t xml:space="preserve">2024-08-13</t>
  </si>
  <si>
    <t xml:space="preserve">Pooja Desai</t>
  </si>
  <si>
    <t xml:space="preserve">Tables</t>
  </si>
  <si>
    <t xml:space="preserve">Tables Model 137</t>
  </si>
  <si>
    <t xml:space="preserve">ORD-1067</t>
  </si>
  <si>
    <t xml:space="preserve">2023-02-05</t>
  </si>
  <si>
    <t xml:space="preserve">Furnishings</t>
  </si>
  <si>
    <t xml:space="preserve">Furnishings Model 413</t>
  </si>
  <si>
    <t xml:space="preserve">Home Office</t>
  </si>
  <si>
    <t xml:space="preserve">ORD-1059</t>
  </si>
  <si>
    <t xml:space="preserve">2024-06-08</t>
  </si>
  <si>
    <t xml:space="preserve">Binders Model 835</t>
  </si>
  <si>
    <t xml:space="preserve">ORD-1062</t>
  </si>
  <si>
    <t xml:space="preserve">2023-05-22</t>
  </si>
  <si>
    <t xml:space="preserve">Meera Pillai</t>
  </si>
  <si>
    <t xml:space="preserve">Bookcases Model 942</t>
  </si>
  <si>
    <t xml:space="preserve">ORD-1006</t>
  </si>
  <si>
    <t xml:space="preserve">2024-07-23</t>
  </si>
  <si>
    <t xml:space="preserve">Binders Model 463</t>
  </si>
  <si>
    <t xml:space="preserve">ORD-1002</t>
  </si>
  <si>
    <t xml:space="preserve">2024-03-23</t>
  </si>
  <si>
    <t xml:space="preserve">Furnishings Model 833</t>
  </si>
  <si>
    <t xml:space="preserve">ORD-1081</t>
  </si>
  <si>
    <t xml:space="preserve">2025-10-04</t>
  </si>
  <si>
    <t xml:space="preserve">Divya Menon</t>
  </si>
  <si>
    <t xml:space="preserve">Machines Model 786</t>
  </si>
  <si>
    <t xml:space="preserve">ORD-1046</t>
  </si>
  <si>
    <t xml:space="preserve">2024-02-12</t>
  </si>
  <si>
    <t xml:space="preserve">Isha Kapoor</t>
  </si>
  <si>
    <t xml:space="preserve">Binders Model 725</t>
  </si>
  <si>
    <t xml:space="preserve">ORD-1001</t>
  </si>
  <si>
    <t xml:space="preserve">2024-04-02</t>
  </si>
  <si>
    <t xml:space="preserve">Phones Model 658</t>
  </si>
  <si>
    <t xml:space="preserve">ORD-1058</t>
  </si>
  <si>
    <t xml:space="preserve">2024-05-21</t>
  </si>
  <si>
    <t xml:space="preserve">Chairs</t>
  </si>
  <si>
    <t xml:space="preserve">Chairs Model 229</t>
  </si>
  <si>
    <t xml:space="preserve">ORD-1147</t>
  </si>
  <si>
    <t xml:space="preserve">2025-02-10</t>
  </si>
  <si>
    <t xml:space="preserve">Vikram Rao</t>
  </si>
  <si>
    <t xml:space="preserve">ORD-1055</t>
  </si>
  <si>
    <t xml:space="preserve">2023-09-19</t>
  </si>
  <si>
    <t xml:space="preserve">Machines Model 778</t>
  </si>
  <si>
    <t xml:space="preserve">ORD-1113</t>
  </si>
  <si>
    <t xml:space="preserve">2024-05-28</t>
  </si>
  <si>
    <t xml:space="preserve">Chairs Model 115</t>
  </si>
  <si>
    <t xml:space="preserve">ORD-1083</t>
  </si>
  <si>
    <t xml:space="preserve">2023-08-26</t>
  </si>
  <si>
    <t xml:space="preserve">Binders Model 773</t>
  </si>
  <si>
    <t xml:space="preserve">ORD-1029</t>
  </si>
  <si>
    <t xml:space="preserve">2024-03-12</t>
  </si>
  <si>
    <t xml:space="preserve">Chairs Model 350</t>
  </si>
  <si>
    <t xml:space="preserve">ORD-1134</t>
  </si>
  <si>
    <t xml:space="preserve">2023-06-06</t>
  </si>
  <si>
    <t xml:space="preserve">Ananya Gupta</t>
  </si>
  <si>
    <t xml:space="preserve">Storage</t>
  </si>
  <si>
    <t xml:space="preserve">Storage Model 894</t>
  </si>
  <si>
    <t xml:space="preserve">ORD-1052</t>
  </si>
  <si>
    <t xml:space="preserve">2024-11-08</t>
  </si>
  <si>
    <t xml:space="preserve">Tables Model 530</t>
  </si>
  <si>
    <t xml:space="preserve">ORD-1098</t>
  </si>
  <si>
    <t xml:space="preserve">2023-06-01</t>
  </si>
  <si>
    <t xml:space="preserve">Binders Model 534</t>
  </si>
  <si>
    <t xml:space="preserve">ORD-1139</t>
  </si>
  <si>
    <t xml:space="preserve">2024-01-21</t>
  </si>
  <si>
    <t xml:space="preserve">Furnishings Model 163</t>
  </si>
  <si>
    <t xml:space="preserve">ORD-1009</t>
  </si>
  <si>
    <t xml:space="preserve">2025-07-28</t>
  </si>
  <si>
    <t xml:space="preserve">Rahul Bhat</t>
  </si>
  <si>
    <t xml:space="preserve">Copiers</t>
  </si>
  <si>
    <t xml:space="preserve">Copiers Model 651</t>
  </si>
  <si>
    <t xml:space="preserve">ORD-1024</t>
  </si>
  <si>
    <t xml:space="preserve">2024-06-27</t>
  </si>
  <si>
    <t xml:space="preserve">Tables Model 902</t>
  </si>
  <si>
    <t xml:space="preserve">ORD-1026</t>
  </si>
  <si>
    <t xml:space="preserve">2023-04-27</t>
  </si>
  <si>
    <t xml:space="preserve">Chairs Model 169</t>
  </si>
  <si>
    <t xml:space="preserve">ORD-1109</t>
  </si>
  <si>
    <t xml:space="preserve">2023-07-22</t>
  </si>
  <si>
    <t xml:space="preserve">Machines Model 479</t>
  </si>
  <si>
    <t xml:space="preserve">ORD-1144</t>
  </si>
  <si>
    <t xml:space="preserve">Bookcases Model 639</t>
  </si>
  <si>
    <t xml:space="preserve">ORD-1126</t>
  </si>
  <si>
    <t xml:space="preserve">2023-11-19</t>
  </si>
  <si>
    <t xml:space="preserve">Furnishings Model 681</t>
  </si>
  <si>
    <t xml:space="preserve">ORD-1100</t>
  </si>
  <si>
    <t xml:space="preserve">2023-01-17</t>
  </si>
  <si>
    <t xml:space="preserve">Arjun Singh</t>
  </si>
  <si>
    <t xml:space="preserve">Storage Model 150</t>
  </si>
  <si>
    <t xml:space="preserve">ORD-1085</t>
  </si>
  <si>
    <t xml:space="preserve">2025-06-16</t>
  </si>
  <si>
    <t xml:space="preserve">Neha Verma</t>
  </si>
  <si>
    <t xml:space="preserve">Tables Model 723</t>
  </si>
  <si>
    <t xml:space="preserve">ORD-1167</t>
  </si>
  <si>
    <t xml:space="preserve">2024-04-28</t>
  </si>
  <si>
    <t xml:space="preserve">Furnishings Model 133</t>
  </si>
  <si>
    <t xml:space="preserve">ORD-1162</t>
  </si>
  <si>
    <t xml:space="preserve">2024-11-10</t>
  </si>
  <si>
    <t xml:space="preserve">Priya Nair</t>
  </si>
  <si>
    <t xml:space="preserve">Accessories</t>
  </si>
  <si>
    <t xml:space="preserve">Accessories Model 509</t>
  </si>
  <si>
    <t xml:space="preserve">ORD-1038</t>
  </si>
  <si>
    <t xml:space="preserve">2024-01-31</t>
  </si>
  <si>
    <t xml:space="preserve">Storage Model 891</t>
  </si>
  <si>
    <t xml:space="preserve">ORD-1078</t>
  </si>
  <si>
    <t xml:space="preserve">2024-08-14</t>
  </si>
  <si>
    <t xml:space="preserve">Chairs Model 512</t>
  </si>
  <si>
    <t xml:space="preserve">ORD-1155</t>
  </si>
  <si>
    <t xml:space="preserve">2024-09-08</t>
  </si>
  <si>
    <t xml:space="preserve">Machines Model 737</t>
  </si>
  <si>
    <t xml:space="preserve">ORD-1157</t>
  </si>
  <si>
    <t xml:space="preserve">2023-06-25</t>
  </si>
  <si>
    <t xml:space="preserve">Copiers Model 657</t>
  </si>
  <si>
    <t xml:space="preserve">ORD-1137</t>
  </si>
  <si>
    <t xml:space="preserve">2025-08-18</t>
  </si>
  <si>
    <t xml:space="preserve">Storage Model 157</t>
  </si>
  <si>
    <t xml:space="preserve">ORD-1016</t>
  </si>
  <si>
    <t xml:space="preserve">2025-12-16</t>
  </si>
  <si>
    <t xml:space="preserve">Machines Model 873</t>
  </si>
  <si>
    <t xml:space="preserve">ORD-1103</t>
  </si>
  <si>
    <t xml:space="preserve">2024-02-16</t>
  </si>
  <si>
    <t xml:space="preserve">Storage Model 379</t>
  </si>
  <si>
    <t xml:space="preserve">ORD-1060</t>
  </si>
  <si>
    <t xml:space="preserve">2024-09-30</t>
  </si>
  <si>
    <t xml:space="preserve">Tables Model 832</t>
  </si>
  <si>
    <t xml:space="preserve">ORD-1148</t>
  </si>
  <si>
    <t xml:space="preserve">2024-05-01</t>
  </si>
  <si>
    <t xml:space="preserve">Furnishings Model 559</t>
  </si>
  <si>
    <t xml:space="preserve">ORD-1017</t>
  </si>
  <si>
    <t xml:space="preserve">2025-02-03</t>
  </si>
  <si>
    <t xml:space="preserve">Accessories Model 330</t>
  </si>
  <si>
    <t xml:space="preserve">ORD-1045</t>
  </si>
  <si>
    <t xml:space="preserve">2023-12-14</t>
  </si>
  <si>
    <t xml:space="preserve">Art</t>
  </si>
  <si>
    <t xml:space="preserve">Art Model 734</t>
  </si>
  <si>
    <t xml:space="preserve">ORD-1128</t>
  </si>
  <si>
    <t xml:space="preserve">2025-11-15</t>
  </si>
  <si>
    <t xml:space="preserve">Machines Model 794</t>
  </si>
  <si>
    <t xml:space="preserve">ORD-1164</t>
  </si>
  <si>
    <t xml:space="preserve">2024-08-24</t>
  </si>
  <si>
    <t xml:space="preserve">ORD-1047</t>
  </si>
  <si>
    <t xml:space="preserve">2025-10-09</t>
  </si>
  <si>
    <t xml:space="preserve">Furnishings Model 868</t>
  </si>
  <si>
    <t xml:space="preserve">ORD-1180</t>
  </si>
  <si>
    <t xml:space="preserve">2023-05-03</t>
  </si>
  <si>
    <t xml:space="preserve">Furnishings Model 448</t>
  </si>
  <si>
    <t xml:space="preserve">ORD-1023</t>
  </si>
  <si>
    <t xml:space="preserve">2024-04-29</t>
  </si>
  <si>
    <t xml:space="preserve">Phones Model 510</t>
  </si>
  <si>
    <t xml:space="preserve">ORD-1114</t>
  </si>
  <si>
    <t xml:space="preserve">2023-12-23</t>
  </si>
  <si>
    <t xml:space="preserve">Paper</t>
  </si>
  <si>
    <t xml:space="preserve">Paper Model 216</t>
  </si>
  <si>
    <t xml:space="preserve">ORD-1119</t>
  </si>
  <si>
    <t xml:space="preserve">2025-04-27</t>
  </si>
  <si>
    <t xml:space="preserve">Accessories Model 197</t>
  </si>
  <si>
    <t xml:space="preserve">ORD-1174</t>
  </si>
  <si>
    <t xml:space="preserve">Machines Model 577</t>
  </si>
  <si>
    <t xml:space="preserve">ORD-1115</t>
  </si>
  <si>
    <t xml:space="preserve">2025-11-17</t>
  </si>
  <si>
    <t xml:space="preserve">Phones Model 729</t>
  </si>
  <si>
    <t xml:space="preserve">ORD-1140</t>
  </si>
  <si>
    <t xml:space="preserve">2023-03-22</t>
  </si>
  <si>
    <t xml:space="preserve">Binders Model 724</t>
  </si>
  <si>
    <t xml:space="preserve">ORD-1088</t>
  </si>
  <si>
    <t xml:space="preserve">2024-07-19</t>
  </si>
  <si>
    <t xml:space="preserve">Paper Model 940</t>
  </si>
  <si>
    <t xml:space="preserve">ORD-1097</t>
  </si>
  <si>
    <t xml:space="preserve">2025-10-16</t>
  </si>
  <si>
    <t xml:space="preserve">Tables Model 570</t>
  </si>
  <si>
    <t xml:space="preserve">ORD-1125</t>
  </si>
  <si>
    <t xml:space="preserve">2023-10-18</t>
  </si>
  <si>
    <t xml:space="preserve">Tables Model 643</t>
  </si>
  <si>
    <t xml:space="preserve">ORD-1154</t>
  </si>
  <si>
    <t xml:space="preserve">2023-01-11</t>
  </si>
  <si>
    <t xml:space="preserve">Accessories Model 661</t>
  </si>
  <si>
    <t xml:space="preserve">ORD-1124</t>
  </si>
  <si>
    <t xml:space="preserve">2024-01-05</t>
  </si>
  <si>
    <t xml:space="preserve">Phones Model 459</t>
  </si>
  <si>
    <t xml:space="preserve">ORD-1021</t>
  </si>
  <si>
    <t xml:space="preserve">2025-04-04</t>
  </si>
  <si>
    <t xml:space="preserve">Binders Model 296</t>
  </si>
  <si>
    <t xml:space="preserve">ORD-1165</t>
  </si>
  <si>
    <t xml:space="preserve">2025-06-28</t>
  </si>
  <si>
    <t xml:space="preserve">Labels</t>
  </si>
  <si>
    <t xml:space="preserve">Labels Model 461</t>
  </si>
  <si>
    <t xml:space="preserve">ORD-1070</t>
  </si>
  <si>
    <t xml:space="preserve">2024-04-10</t>
  </si>
  <si>
    <t xml:space="preserve">Copiers Model 229</t>
  </si>
  <si>
    <t xml:space="preserve">ORD-1018</t>
  </si>
  <si>
    <t xml:space="preserve">2023-01-15</t>
  </si>
  <si>
    <t xml:space="preserve">Bookcases Model 132</t>
  </si>
  <si>
    <t xml:space="preserve">ORD-1008</t>
  </si>
  <si>
    <t xml:space="preserve">2024-04-14</t>
  </si>
  <si>
    <t xml:space="preserve">Accessories Model 316</t>
  </si>
  <si>
    <t xml:space="preserve">ORD-1132</t>
  </si>
  <si>
    <t xml:space="preserve">2024-08-15</t>
  </si>
  <si>
    <t xml:space="preserve">Labels Model 732</t>
  </si>
  <si>
    <t xml:space="preserve">ORD-1120</t>
  </si>
  <si>
    <t xml:space="preserve">2023-11-09</t>
  </si>
  <si>
    <t xml:space="preserve">Art Model 187</t>
  </si>
  <si>
    <t xml:space="preserve">ORD-1071</t>
  </si>
  <si>
    <t xml:space="preserve">2025-10-02</t>
  </si>
  <si>
    <t xml:space="preserve">Binders Model 590</t>
  </si>
  <si>
    <t xml:space="preserve">ORD-1027</t>
  </si>
  <si>
    <t xml:space="preserve">2023-03-23</t>
  </si>
  <si>
    <t xml:space="preserve">Accessories Model 635</t>
  </si>
  <si>
    <t xml:space="preserve">ORD-1053</t>
  </si>
  <si>
    <t xml:space="preserve">2025-09-03</t>
  </si>
  <si>
    <t xml:space="preserve">Labels Model 973</t>
  </si>
  <si>
    <t xml:space="preserve">ORD-1020</t>
  </si>
  <si>
    <t xml:space="preserve">2024-01-25</t>
  </si>
  <si>
    <t xml:space="preserve">Machines Model 520</t>
  </si>
  <si>
    <t xml:space="preserve">ORD-1175</t>
  </si>
  <si>
    <t xml:space="preserve">2025-06-05</t>
  </si>
  <si>
    <t xml:space="preserve">Copiers Model 630</t>
  </si>
  <si>
    <t xml:space="preserve">ORD-1041</t>
  </si>
  <si>
    <t xml:space="preserve">2025-11-30</t>
  </si>
  <si>
    <t xml:space="preserve">Bookcases Model 301</t>
  </si>
  <si>
    <t xml:space="preserve">ORD-1057</t>
  </si>
  <si>
    <t xml:space="preserve">2024-05-31</t>
  </si>
  <si>
    <t xml:space="preserve">Storage Model 458</t>
  </si>
  <si>
    <t xml:space="preserve">ORD-1110</t>
  </si>
  <si>
    <t xml:space="preserve">2023-07-23</t>
  </si>
  <si>
    <t xml:space="preserve">Furnishings Model 507</t>
  </si>
  <si>
    <t xml:space="preserve">ORD-1152</t>
  </si>
  <si>
    <t xml:space="preserve">2025-04-29</t>
  </si>
  <si>
    <t xml:space="preserve">Tables Model 183</t>
  </si>
  <si>
    <t xml:space="preserve">ORD-1106</t>
  </si>
  <si>
    <t xml:space="preserve">2023-08-10</t>
  </si>
  <si>
    <t xml:space="preserve">Copiers Model 674</t>
  </si>
  <si>
    <t xml:space="preserve">ORD-1092</t>
  </si>
  <si>
    <t xml:space="preserve">2023-02-01</t>
  </si>
  <si>
    <t xml:space="preserve">Binders Model 258</t>
  </si>
  <si>
    <t xml:space="preserve">ORD-1005</t>
  </si>
  <si>
    <t xml:space="preserve">2025-01-10</t>
  </si>
  <si>
    <t xml:space="preserve">Phones Model 333</t>
  </si>
  <si>
    <t xml:space="preserve">ORD-1032</t>
  </si>
  <si>
    <t xml:space="preserve">2023-04-15</t>
  </si>
  <si>
    <t xml:space="preserve">Copiers Model 103</t>
  </si>
  <si>
    <t xml:space="preserve">ORD-1160</t>
  </si>
  <si>
    <t xml:space="preserve">2023-10-04</t>
  </si>
  <si>
    <t xml:space="preserve">Machines Model 306</t>
  </si>
  <si>
    <t xml:space="preserve">ORD-1049</t>
  </si>
  <si>
    <t xml:space="preserve">2025-10-30</t>
  </si>
  <si>
    <t xml:space="preserve">Labels Model 262</t>
  </si>
  <si>
    <t xml:space="preserve">ORD-1080</t>
  </si>
  <si>
    <t xml:space="preserve">2024-07-05</t>
  </si>
  <si>
    <t xml:space="preserve">Binders Model 631</t>
  </si>
  <si>
    <t xml:space="preserve">ORD-1159</t>
  </si>
  <si>
    <t xml:space="preserve">2023-10-01</t>
  </si>
  <si>
    <t xml:space="preserve">Paper Model 279</t>
  </si>
  <si>
    <t xml:space="preserve">ORD-1022</t>
  </si>
  <si>
    <t xml:space="preserve">2024-07-24</t>
  </si>
  <si>
    <t xml:space="preserve">Furnishings Model 982</t>
  </si>
  <si>
    <t xml:space="preserve">ORD-1028</t>
  </si>
  <si>
    <t xml:space="preserve">Storage Model 423</t>
  </si>
  <si>
    <t xml:space="preserve">ORD-1151</t>
  </si>
  <si>
    <t xml:space="preserve">2023-06-21</t>
  </si>
  <si>
    <t xml:space="preserve">Labels Model 547</t>
  </si>
  <si>
    <t xml:space="preserve">ORD-1007</t>
  </si>
  <si>
    <t xml:space="preserve">2025-12-29</t>
  </si>
  <si>
    <t xml:space="preserve">Bookcases Model 755</t>
  </si>
  <si>
    <t xml:space="preserve">ORD-1030</t>
  </si>
  <si>
    <t xml:space="preserve">2025-12-19</t>
  </si>
  <si>
    <t xml:space="preserve">Storage Model 779</t>
  </si>
  <si>
    <t xml:space="preserve">ORD-1161</t>
  </si>
  <si>
    <t xml:space="preserve">ORD-1171</t>
  </si>
  <si>
    <t xml:space="preserve">2024-10-16</t>
  </si>
  <si>
    <t xml:space="preserve">Furnishings Model 397</t>
  </si>
  <si>
    <t xml:space="preserve">ORD-1158</t>
  </si>
  <si>
    <t xml:space="preserve">2025-03-03</t>
  </si>
  <si>
    <t xml:space="preserve">Phones Model 169</t>
  </si>
  <si>
    <t xml:space="preserve">ORD-1034</t>
  </si>
  <si>
    <t xml:space="preserve">2023-10-31</t>
  </si>
  <si>
    <t xml:space="preserve">Accessories Model 915</t>
  </si>
  <si>
    <t xml:space="preserve">ORD-1112</t>
  </si>
  <si>
    <t xml:space="preserve">2024-02-29</t>
  </si>
  <si>
    <t xml:space="preserve">Tables Model 892</t>
  </si>
  <si>
    <t xml:space="preserve">ORD-1077</t>
  </si>
  <si>
    <t xml:space="preserve">2023-08-24</t>
  </si>
  <si>
    <t xml:space="preserve">Tables Model 946</t>
  </si>
  <si>
    <t xml:space="preserve">ORD-1004</t>
  </si>
  <si>
    <t xml:space="preserve">2025-01-05</t>
  </si>
  <si>
    <t xml:space="preserve">Sneha Iyer</t>
  </si>
  <si>
    <t xml:space="preserve">Binders Model 570</t>
  </si>
  <si>
    <t xml:space="preserve">ORD-1089</t>
  </si>
  <si>
    <t xml:space="preserve">2023-11-01</t>
  </si>
  <si>
    <t xml:space="preserve">Bookcases Model 881</t>
  </si>
  <si>
    <t xml:space="preserve">ORD-1163</t>
  </si>
  <si>
    <t xml:space="preserve">2025-10-13</t>
  </si>
  <si>
    <t xml:space="preserve">Machines Model 920</t>
  </si>
  <si>
    <t xml:space="preserve">ORD-1102</t>
  </si>
  <si>
    <t xml:space="preserve">2024-09-24</t>
  </si>
  <si>
    <t xml:space="preserve">Accessories Model 192</t>
  </si>
  <si>
    <t xml:space="preserve">ORD-1040</t>
  </si>
  <si>
    <t xml:space="preserve">2024-10-04</t>
  </si>
  <si>
    <t xml:space="preserve">Chairs Model 690</t>
  </si>
  <si>
    <t xml:space="preserve">ORD-1075</t>
  </si>
  <si>
    <t xml:space="preserve">2023-06-16</t>
  </si>
  <si>
    <t xml:space="preserve">Chairs Model 102</t>
  </si>
  <si>
    <t xml:space="preserve">ORD-1054</t>
  </si>
  <si>
    <t xml:space="preserve">2024-03-25</t>
  </si>
  <si>
    <t xml:space="preserve">Labels Model 784</t>
  </si>
  <si>
    <t xml:space="preserve">ORD-1015</t>
  </si>
  <si>
    <t xml:space="preserve">2025-09-22</t>
  </si>
  <si>
    <t xml:space="preserve">Tables Model 231</t>
  </si>
  <si>
    <t xml:space="preserve">ORD-1149</t>
  </si>
  <si>
    <t xml:space="preserve">2025-01-23</t>
  </si>
  <si>
    <t xml:space="preserve">Tables Model 388</t>
  </si>
  <si>
    <t xml:space="preserve">ORD-1043</t>
  </si>
  <si>
    <t xml:space="preserve">2024-01-28</t>
  </si>
  <si>
    <t xml:space="preserve">Art Model 278</t>
  </si>
  <si>
    <t xml:space="preserve">ORD-1048</t>
  </si>
  <si>
    <t xml:space="preserve">2023-04-13</t>
  </si>
  <si>
    <t xml:space="preserve">Furnishings Model 236</t>
  </si>
  <si>
    <t xml:space="preserve">ORD-1177</t>
  </si>
  <si>
    <t xml:space="preserve">2024-09-12</t>
  </si>
  <si>
    <t xml:space="preserve">Bookcases Model 706</t>
  </si>
  <si>
    <t xml:space="preserve">ORD-1105</t>
  </si>
  <si>
    <t xml:space="preserve">2025-03-19</t>
  </si>
  <si>
    <t xml:space="preserve">Machines Model 788</t>
  </si>
  <si>
    <t xml:space="preserve">ORD-1061</t>
  </si>
  <si>
    <t xml:space="preserve">2024-09-09</t>
  </si>
  <si>
    <t xml:space="preserve">Chairs Model 679</t>
  </si>
  <si>
    <t xml:space="preserve">ORD-1123</t>
  </si>
  <si>
    <t xml:space="preserve">2025-01-22</t>
  </si>
  <si>
    <t xml:space="preserve">Furnishings Model 539</t>
  </si>
  <si>
    <t xml:space="preserve">ORD-1095</t>
  </si>
  <si>
    <t xml:space="preserve">2023-12-07</t>
  </si>
  <si>
    <t xml:space="preserve">Furnishings Model 915</t>
  </si>
  <si>
    <t xml:space="preserve">ORD-1063</t>
  </si>
  <si>
    <t xml:space="preserve">2023-11-10</t>
  </si>
  <si>
    <t xml:space="preserve">Binders Model 376</t>
  </si>
  <si>
    <t xml:space="preserve">ORD-1069</t>
  </si>
  <si>
    <t xml:space="preserve">Tables Model 878</t>
  </si>
  <si>
    <t xml:space="preserve">ORD-1066</t>
  </si>
  <si>
    <t xml:space="preserve">2025-11-24</t>
  </si>
  <si>
    <t xml:space="preserve">Storage Model 668</t>
  </si>
  <si>
    <t xml:space="preserve">ORD-1107</t>
  </si>
  <si>
    <t xml:space="preserve">2024-09-10</t>
  </si>
  <si>
    <t xml:space="preserve">Labels Model 138</t>
  </si>
  <si>
    <t xml:space="preserve">ORD-1065</t>
  </si>
  <si>
    <t xml:space="preserve">2023-02-28</t>
  </si>
  <si>
    <t xml:space="preserve">Furnishings Model 463</t>
  </si>
  <si>
    <t xml:space="preserve">ORD-1044</t>
  </si>
  <si>
    <t xml:space="preserve">2024-08-10</t>
  </si>
  <si>
    <t xml:space="preserve">Copiers Model 429</t>
  </si>
  <si>
    <t xml:space="preserve">ORD-1076</t>
  </si>
  <si>
    <t xml:space="preserve">2023-03-08</t>
  </si>
  <si>
    <t xml:space="preserve">Art Model 564</t>
  </si>
  <si>
    <t xml:space="preserve">ORD-1135</t>
  </si>
  <si>
    <t xml:space="preserve">2023-07-30</t>
  </si>
  <si>
    <t xml:space="preserve">Storage Model 878</t>
  </si>
  <si>
    <t xml:space="preserve">ORD-1108</t>
  </si>
  <si>
    <t xml:space="preserve">2023-10-05</t>
  </si>
  <si>
    <t xml:space="preserve">Art Model 813</t>
  </si>
  <si>
    <t xml:space="preserve">ORD-1079</t>
  </si>
  <si>
    <t xml:space="preserve">2023-06-14</t>
  </si>
  <si>
    <t xml:space="preserve">Labels Model 718</t>
  </si>
  <si>
    <t xml:space="preserve">ORD-1145</t>
  </si>
  <si>
    <t xml:space="preserve">2025-01-12</t>
  </si>
  <si>
    <t xml:space="preserve">Furnishings Model 884</t>
  </si>
  <si>
    <t xml:space="preserve">ORD-1042</t>
  </si>
  <si>
    <t xml:space="preserve">2023-09-13</t>
  </si>
  <si>
    <t xml:space="preserve">Art Model 518</t>
  </si>
  <si>
    <t xml:space="preserve">ORD-1084</t>
  </si>
  <si>
    <t xml:space="preserve">2025-11-27</t>
  </si>
  <si>
    <t xml:space="preserve">Machines Model 878</t>
  </si>
  <si>
    <t xml:space="preserve">ORD-1178</t>
  </si>
  <si>
    <t xml:space="preserve">Accessories Model 371</t>
  </si>
  <si>
    <t xml:space="preserve">ORD-1039</t>
  </si>
  <si>
    <t xml:space="preserve">2023-02-26</t>
  </si>
  <si>
    <t xml:space="preserve">Storage Model 371</t>
  </si>
  <si>
    <t xml:space="preserve">ORD-1117</t>
  </si>
  <si>
    <t xml:space="preserve">2023-09-16</t>
  </si>
  <si>
    <t xml:space="preserve">Chairs Model 432</t>
  </si>
  <si>
    <t xml:space="preserve">ORD-1133</t>
  </si>
  <si>
    <t xml:space="preserve">2024-05-13</t>
  </si>
  <si>
    <t xml:space="preserve">Storage Model 991</t>
  </si>
  <si>
    <t xml:space="preserve">ORD-1122</t>
  </si>
  <si>
    <t xml:space="preserve">2024-08-12</t>
  </si>
  <si>
    <t xml:space="preserve">Storage Model 317</t>
  </si>
  <si>
    <t xml:space="preserve">ORD-1086</t>
  </si>
  <si>
    <t xml:space="preserve">2023-07-10</t>
  </si>
  <si>
    <t xml:space="preserve">Tables Model 220</t>
  </si>
  <si>
    <t xml:space="preserve">ORD-1036</t>
  </si>
  <si>
    <t xml:space="preserve">2023-02-20</t>
  </si>
  <si>
    <t xml:space="preserve">Tables Model 521</t>
  </si>
  <si>
    <t xml:space="preserve">ORD-1010</t>
  </si>
  <si>
    <t xml:space="preserve">Labels Model 981</t>
  </si>
  <si>
    <t xml:space="preserve">ORD-1169</t>
  </si>
  <si>
    <t xml:space="preserve">2023-08-21</t>
  </si>
  <si>
    <t xml:space="preserve">Storage Model 675</t>
  </si>
  <si>
    <t xml:space="preserve">ORD-1011</t>
  </si>
  <si>
    <t xml:space="preserve">2023-05-11</t>
  </si>
  <si>
    <t xml:space="preserve">Tables Model 666</t>
  </si>
  <si>
    <t xml:space="preserve">ORD-1129</t>
  </si>
  <si>
    <t xml:space="preserve">2024-03-27</t>
  </si>
  <si>
    <t xml:space="preserve">Machines Model 408</t>
  </si>
  <si>
    <t xml:space="preserve">ORD-1037</t>
  </si>
  <si>
    <t xml:space="preserve">2025-02-22</t>
  </si>
  <si>
    <t xml:space="preserve">Accessories Model 571</t>
  </si>
  <si>
    <t xml:space="preserve">ORD-1131</t>
  </si>
  <si>
    <t xml:space="preserve">2025-03-24</t>
  </si>
  <si>
    <t xml:space="preserve">Accessories Model 179</t>
  </si>
  <si>
    <t xml:space="preserve">ORD-1051</t>
  </si>
  <si>
    <t xml:space="preserve">Copiers Model 810</t>
  </si>
  <si>
    <t xml:space="preserve">ORD-1170</t>
  </si>
  <si>
    <t xml:space="preserve">2024-08-07</t>
  </si>
  <si>
    <t xml:space="preserve">Bookcases Model 238</t>
  </si>
  <si>
    <t xml:space="preserve">ORD-1143</t>
  </si>
  <si>
    <t xml:space="preserve">2024-09-27</t>
  </si>
  <si>
    <t xml:space="preserve">Bookcases Model 825</t>
  </si>
  <si>
    <t xml:space="preserve">ORD-1087</t>
  </si>
  <si>
    <t xml:space="preserve">2025-04-30</t>
  </si>
  <si>
    <t xml:space="preserve">Accessories Model 248</t>
  </si>
  <si>
    <t xml:space="preserve">ORD-1096</t>
  </si>
  <si>
    <t xml:space="preserve">2023-10-26</t>
  </si>
  <si>
    <t xml:space="preserve">Bookcases Model 284</t>
  </si>
  <si>
    <t xml:space="preserve">ORD-1101</t>
  </si>
  <si>
    <t xml:space="preserve">2024-03-24</t>
  </si>
  <si>
    <t xml:space="preserve">Machines Model 838</t>
  </si>
  <si>
    <t xml:space="preserve">ORD-1025</t>
  </si>
  <si>
    <t xml:space="preserve">2024-03-21</t>
  </si>
  <si>
    <t xml:space="preserve">Machines Model 421</t>
  </si>
  <si>
    <t xml:space="preserve">ORD-1033</t>
  </si>
  <si>
    <t xml:space="preserve">2025-06-23</t>
  </si>
  <si>
    <t xml:space="preserve">Paper Model 177</t>
  </si>
  <si>
    <t xml:space="preserve">ORD-1031</t>
  </si>
  <si>
    <t xml:space="preserve">2023-11-15</t>
  </si>
  <si>
    <t xml:space="preserve">Tables Model 308</t>
  </si>
  <si>
    <t xml:space="preserve">ORD-1072</t>
  </si>
  <si>
    <t xml:space="preserve">2025-09-05</t>
  </si>
  <si>
    <t xml:space="preserve">Storage Model 690</t>
  </si>
  <si>
    <t xml:space="preserve">ORD-1141</t>
  </si>
  <si>
    <t xml:space="preserve">2025-04-17</t>
  </si>
  <si>
    <t xml:space="preserve">Bookcases Model 762</t>
  </si>
  <si>
    <t xml:space="preserve">ORD-1116</t>
  </si>
  <si>
    <t xml:space="preserve">2025-09-07</t>
  </si>
  <si>
    <t xml:space="preserve">Bookcases Model 554</t>
  </si>
  <si>
    <t xml:space="preserve">ORD-1130</t>
  </si>
  <si>
    <t xml:space="preserve">2023-09-03</t>
  </si>
  <si>
    <t xml:space="preserve">Tables Model 489</t>
  </si>
  <si>
    <t xml:space="preserve">ORD-1099</t>
  </si>
  <si>
    <t xml:space="preserve">2025-02-26</t>
  </si>
  <si>
    <t xml:space="preserve">Copiers Model 688</t>
  </si>
  <si>
    <t xml:space="preserve">ORD-1019</t>
  </si>
  <si>
    <t xml:space="preserve">2025-09-21</t>
  </si>
  <si>
    <t xml:space="preserve">Binders Model 684</t>
  </si>
  <si>
    <t xml:space="preserve">ORD-1179</t>
  </si>
  <si>
    <t xml:space="preserve">Accessories Model 594</t>
  </si>
  <si>
    <t xml:space="preserve">ORD-1142</t>
  </si>
  <si>
    <t xml:space="preserve">2024-08-04</t>
  </si>
  <si>
    <t xml:space="preserve">Binders Model 717</t>
  </si>
  <si>
    <t xml:space="preserve">ORD-1093</t>
  </si>
  <si>
    <t xml:space="preserve">Furnishings Model 424</t>
  </si>
  <si>
    <t xml:space="preserve">ORD-1050</t>
  </si>
  <si>
    <t xml:space="preserve">2024-07-21</t>
  </si>
  <si>
    <t xml:space="preserve">Machines Model 179</t>
  </si>
  <si>
    <t xml:space="preserve">ORD-1146</t>
  </si>
  <si>
    <t xml:space="preserve">2023-06-08</t>
  </si>
  <si>
    <t xml:space="preserve">Paper Model 652</t>
  </si>
  <si>
    <t xml:space="preserve">ORD-1014</t>
  </si>
  <si>
    <t xml:space="preserve">2023-02-09</t>
  </si>
  <si>
    <t xml:space="preserve">Chairs Model 345</t>
  </si>
  <si>
    <t xml:space="preserve">ORD-1012</t>
  </si>
  <si>
    <t xml:space="preserve">2023-08-17</t>
  </si>
  <si>
    <t xml:space="preserve">Chairs Model 839</t>
  </si>
  <si>
    <t xml:space="preserve">ORD-1172</t>
  </si>
  <si>
    <t xml:space="preserve">2025-11-07</t>
  </si>
  <si>
    <t xml:space="preserve">Paper Model 342</t>
  </si>
  <si>
    <t xml:space="preserve">ORD-1104</t>
  </si>
  <si>
    <t xml:space="preserve">Bookcases Model 331</t>
  </si>
  <si>
    <t xml:space="preserve">ORD-1094</t>
  </si>
  <si>
    <t xml:space="preserve">2024-04-25</t>
  </si>
  <si>
    <t xml:space="preserve">Machines Model 864</t>
  </si>
  <si>
    <t xml:space="preserve">ORD-1068</t>
  </si>
  <si>
    <t xml:space="preserve">Copiers Model 336</t>
  </si>
  <si>
    <t xml:space="preserve">ORD-1035</t>
  </si>
  <si>
    <t xml:space="preserve">2024-12-25</t>
  </si>
  <si>
    <t xml:space="preserve">Bookcases Model 867</t>
  </si>
  <si>
    <t xml:space="preserve">ORD-1111</t>
  </si>
  <si>
    <t xml:space="preserve">2024-03-10</t>
  </si>
  <si>
    <t xml:space="preserve">Paper Model 441</t>
  </si>
  <si>
    <t xml:space="preserve">ORD-1003</t>
  </si>
  <si>
    <t xml:space="preserve">2023-01-14</t>
  </si>
  <si>
    <t xml:space="preserve">Machines Model 320</t>
  </si>
  <si>
    <t xml:space="preserve">ORD-1138</t>
  </si>
  <si>
    <t xml:space="preserve">2025-07-14</t>
  </si>
  <si>
    <t xml:space="preserve">Labels Model 760</t>
  </si>
  <si>
    <t xml:space="preserve">ORD-1074</t>
  </si>
  <si>
    <t xml:space="preserve">2025-06-25</t>
  </si>
  <si>
    <t xml:space="preserve">Accessories Model 735</t>
  </si>
  <si>
    <t xml:space="preserve">ORD-1121</t>
  </si>
  <si>
    <t xml:space="preserve">Furnishings Model 225</t>
  </si>
  <si>
    <t xml:space="preserve">ORD-1173</t>
  </si>
  <si>
    <t xml:space="preserve">2023-09-23</t>
  </si>
  <si>
    <t xml:space="preserve">Binders Model 834</t>
  </si>
  <si>
    <t xml:space="preserve">ORD-1168</t>
  </si>
  <si>
    <t xml:space="preserve">2025-01-31</t>
  </si>
  <si>
    <t xml:space="preserve">Accessories Model 475</t>
  </si>
  <si>
    <t xml:space="preserve">ORD-1153</t>
  </si>
  <si>
    <t xml:space="preserve">2024-11-17</t>
  </si>
  <si>
    <t xml:space="preserve">Paper Model 583</t>
  </si>
  <si>
    <t xml:space="preserve">ORD-1127</t>
  </si>
  <si>
    <t xml:space="preserve">2023-04-12</t>
  </si>
  <si>
    <t xml:space="preserve">Phones Model 597</t>
  </si>
  <si>
    <t xml:space="preserve">ORD-1073</t>
  </si>
  <si>
    <t xml:space="preserve">2023-06-24</t>
  </si>
  <si>
    <t xml:space="preserve">Phones Model 710</t>
  </si>
  <si>
    <t xml:space="preserve">ORD-1013</t>
  </si>
  <si>
    <t xml:space="preserve">2024-09-03</t>
  </si>
  <si>
    <t xml:space="preserve">Copiers Model 880</t>
  </si>
  <si>
    <t xml:space="preserve">ORD-1091</t>
  </si>
  <si>
    <t xml:space="preserve">2023-11-08</t>
  </si>
  <si>
    <t xml:space="preserve">Art Model 704</t>
  </si>
  <si>
    <t xml:space="preserve">ORD-1150</t>
  </si>
  <si>
    <t xml:space="preserve">2024-02-13</t>
  </si>
  <si>
    <t xml:space="preserve">Labels Model 592</t>
  </si>
  <si>
    <t xml:space="preserve">ORD-1056</t>
  </si>
  <si>
    <t xml:space="preserve">2025-08-03</t>
  </si>
  <si>
    <t xml:space="preserve">Chairs Model 565</t>
  </si>
  <si>
    <t xml:space="preserve">ORD-1118</t>
  </si>
  <si>
    <t xml:space="preserve">2025-11-01</t>
  </si>
  <si>
    <t xml:space="preserve">CLEANED DATA — Task 1: duplicates removed, missing values handled</t>
  </si>
  <si>
    <t xml:space="preserve">Task 4: conditional formatting highlights the TOP 10 highest values in the Sales column (red fill).</t>
  </si>
  <si>
    <t xml:space="preserve">Year</t>
  </si>
  <si>
    <t xml:space="preserve">Cleaning steps applied</t>
  </si>
  <si>
    <t xml:space="preserve">1. Removed 12 exact duplicate rows (drop_duplicates).</t>
  </si>
  <si>
    <t xml:space="preserve">2. Blank "Customer Name" -&gt; filled with "Unknown Customer".</t>
  </si>
  <si>
    <t xml:space="preserve">3. Blank "Quantity" -&gt; filled with the column median.</t>
  </si>
  <si>
    <t xml:space="preserve">4. Blank "Sales" -&gt; filled with the column median.</t>
  </si>
  <si>
    <t xml:space="preserve">Result: 192 raw rows -&gt; 180 cleaned rows.</t>
  </si>
  <si>
    <t xml:space="preserve">Unknown Customer</t>
  </si>
  <si>
    <t xml:space="preserve">ANALYSIS — Pivot-style Summaries &amp; Descriptive Statistics</t>
  </si>
  <si>
    <t xml:space="preserve">Task 2: Pivot Table — Region-wise Sales</t>
  </si>
  <si>
    <t xml:space="preserve">Total Sales</t>
  </si>
  <si>
    <t xml:space="preserve">Grand Total</t>
  </si>
  <si>
    <t xml:space="preserve">Task 3: Descriptive Statistics (Excel formulas)</t>
  </si>
  <si>
    <t xml:space="preserve">Metric</t>
  </si>
  <si>
    <t xml:space="preserve">Mean</t>
  </si>
  <si>
    <t xml:space="preserve">Median</t>
  </si>
  <si>
    <t xml:space="preserve">Mode</t>
  </si>
  <si>
    <t xml:space="preserve">Task 5: Category-wise Revenue (source data for bar chart)</t>
  </si>
  <si>
    <t xml:space="preserve">Revenue</t>
  </si>
  <si>
    <t xml:space="preserve">Project: Total Revenue</t>
  </si>
  <si>
    <t xml:space="preserve">Total Revenue</t>
  </si>
  <si>
    <t xml:space="preserve">Total Profit</t>
  </si>
  <si>
    <t xml:space="preserve">Total Orders</t>
  </si>
  <si>
    <t xml:space="preserve">Project: Yearly Sales Trends</t>
  </si>
  <si>
    <t xml:space="preserve">Project: Department-wise Revenue</t>
  </si>
  <si>
    <t xml:space="preserve">CHARTS — Task 5 (Category Revenue) + Project Visuals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</si>
</sst>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0.0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Arial"/>
      <family val="0"/>
      <charset val="1"/>
    </font>
    <font>
      <b val="true"/>
      <sz val="12"/>
      <color rgb="FF1F4E78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4"/>
      <color rgb="FF1F4E7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Cambria"/>
      <family val="0"/>
      <charset val="1"/>
    </font>
    <font>
      <sz val="10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name val="Arial"/>
        <charset val="1"/>
        <family val="0"/>
        <b val="1"/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4F81BD"/>
      <rgbColor rgb="FF33CCCC"/>
      <rgbColor rgb="FF99CC00"/>
      <rgbColor rgb="FFFFCC00"/>
      <rgbColor rgb="FFFF9900"/>
      <rgbColor rgb="FFFF6600"/>
      <rgbColor rgb="FF4A7EBB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Category-wise Revenue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Analysis!B18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Analysis!$A$19:$A$21</c:f>
              <c:strCache>
                <c:ptCount val="3"/>
                <c:pt idx="0">
                  <c:v>Category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Analysis!$B$19:$B$21</c:f>
              <c:numCache>
                <c:formatCode>#,##0.00</c:formatCode>
                <c:ptCount val="3"/>
                <c:pt idx="1">
                  <c:v>150849.74</c:v>
                </c:pt>
                <c:pt idx="2">
                  <c:v>109018.16</c:v>
                </c:pt>
              </c:numCache>
            </c:numRef>
          </c:val>
        </c:ser>
        <c:gapWidth val="150"/>
        <c:overlap val="0"/>
        <c:axId val="4874403"/>
        <c:axId val="9965657"/>
      </c:barChart>
      <c:catAx>
        <c:axId val="487440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Category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65657"/>
        <c:crosses val="autoZero"/>
        <c:auto val="1"/>
        <c:lblAlgn val="ctr"/>
        <c:lblOffset val="100"/>
        <c:noMultiLvlLbl val="0"/>
      </c:catAx>
      <c:valAx>
        <c:axId val="996565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7440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Yearly Sales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Analysis!B30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Analysis!$A$31:$A$33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Analysis!$B$31:$B$33</c:f>
              <c:numCache>
                <c:formatCode>#,##0.00</c:formatCode>
                <c:ptCount val="3"/>
                <c:pt idx="0">
                  <c:v>129909.33</c:v>
                </c:pt>
                <c:pt idx="1">
                  <c:v>126611.87</c:v>
                </c:pt>
                <c:pt idx="2">
                  <c:v>105601.39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8049006"/>
        <c:axId val="99113148"/>
      </c:lineChart>
      <c:catAx>
        <c:axId val="4804900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113148"/>
        <c:crosses val="autoZero"/>
        <c:auto val="1"/>
        <c:lblAlgn val="ctr"/>
        <c:lblOffset val="100"/>
        <c:noMultiLvlLbl val="0"/>
      </c:catAx>
      <c:valAx>
        <c:axId val="9911314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Total Sales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04900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Department-wise Revenue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Analysis!B36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Analysis!$A$37:$A$39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Analysis!$B$37:$B$39</c:f>
              <c:numCache>
                <c:formatCode>#,##0.00</c:formatCode>
                <c:ptCount val="3"/>
                <c:pt idx="0">
                  <c:v>125133.22</c:v>
                </c:pt>
                <c:pt idx="1">
                  <c:v>122763.72</c:v>
                </c:pt>
                <c:pt idx="2">
                  <c:v>114225.65</c:v>
                </c:pt>
              </c:numCache>
            </c:numRef>
          </c:val>
        </c:ser>
        <c:gapWidth val="150"/>
        <c:overlap val="0"/>
        <c:axId val="12222063"/>
        <c:axId val="78904300"/>
      </c:barChart>
      <c:catAx>
        <c:axId val="1222206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Department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8904300"/>
        <c:crosses val="autoZero"/>
        <c:auto val="1"/>
        <c:lblAlgn val="ctr"/>
        <c:lblOffset val="100"/>
        <c:noMultiLvlLbl val="0"/>
      </c:catAx>
      <c:valAx>
        <c:axId val="7890430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22206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Region-wise Sales (Pivot)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Analysis!B4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Analysis!$A$5:$A$8</c:f>
              <c:strCache>
                <c:ptCount val="4"/>
                <c:pt idx="0">
                  <c:v>East</c:v>
                </c:pt>
                <c:pt idx="1">
                  <c:v>West</c:v>
                </c:pt>
                <c:pt idx="2">
                  <c:v>North</c:v>
                </c:pt>
                <c:pt idx="3">
                  <c:v>South</c:v>
                </c:pt>
              </c:strCache>
            </c:strRef>
          </c:cat>
          <c:val>
            <c:numRef>
              <c:f>Analysis!$B$5:$B$8</c:f>
              <c:numCache>
                <c:formatCode>#,##0.00</c:formatCode>
                <c:ptCount val="4"/>
                <c:pt idx="0">
                  <c:v>56137.42</c:v>
                </c:pt>
                <c:pt idx="1">
                  <c:v>70673.32</c:v>
                </c:pt>
                <c:pt idx="2">
                  <c:v>110459.44</c:v>
                </c:pt>
                <c:pt idx="3">
                  <c:v>124852.41</c:v>
                </c:pt>
              </c:numCache>
            </c:numRef>
          </c:val>
        </c:ser>
        <c:gapWidth val="150"/>
        <c:overlap val="0"/>
        <c:axId val="45960001"/>
        <c:axId val="94926492"/>
      </c:barChart>
      <c:catAx>
        <c:axId val="4596000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Region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926492"/>
        <c:crosses val="autoZero"/>
        <c:auto val="1"/>
        <c:lblAlgn val="ctr"/>
        <c:lblOffset val="100"/>
        <c:noMultiLvlLbl val="0"/>
      </c:catAx>
      <c:valAx>
        <c:axId val="9492649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Total Sales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96000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</xdr:row>
      <xdr:rowOff>160560</xdr:rowOff>
    </xdr:from>
    <xdr:to>
      <xdr:col>9</xdr:col>
      <xdr:colOff>255600</xdr:colOff>
      <xdr:row>18</xdr:row>
      <xdr:rowOff>161280</xdr:rowOff>
    </xdr:to>
    <xdr:graphicFrame>
      <xdr:nvGraphicFramePr>
        <xdr:cNvPr id="0" name="Chart 1"/>
        <xdr:cNvGraphicFramePr/>
      </xdr:nvGraphicFramePr>
      <xdr:xfrm>
        <a:off x="0" y="379800"/>
        <a:ext cx="5759280" cy="323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19</xdr:row>
      <xdr:rowOff>160560</xdr:rowOff>
    </xdr:from>
    <xdr:to>
      <xdr:col>9</xdr:col>
      <xdr:colOff>255600</xdr:colOff>
      <xdr:row>36</xdr:row>
      <xdr:rowOff>161280</xdr:rowOff>
    </xdr:to>
    <xdr:graphicFrame>
      <xdr:nvGraphicFramePr>
        <xdr:cNvPr id="1" name="Chart 2"/>
        <xdr:cNvGraphicFramePr/>
      </xdr:nvGraphicFramePr>
      <xdr:xfrm>
        <a:off x="0" y="3808800"/>
        <a:ext cx="5759280" cy="323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37</xdr:row>
      <xdr:rowOff>160560</xdr:rowOff>
    </xdr:from>
    <xdr:to>
      <xdr:col>9</xdr:col>
      <xdr:colOff>255600</xdr:colOff>
      <xdr:row>54</xdr:row>
      <xdr:rowOff>161280</xdr:rowOff>
    </xdr:to>
    <xdr:graphicFrame>
      <xdr:nvGraphicFramePr>
        <xdr:cNvPr id="2" name="Chart 3"/>
        <xdr:cNvGraphicFramePr/>
      </xdr:nvGraphicFramePr>
      <xdr:xfrm>
        <a:off x="0" y="7237800"/>
        <a:ext cx="5759280" cy="323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10</xdr:col>
      <xdr:colOff>0</xdr:colOff>
      <xdr:row>1</xdr:row>
      <xdr:rowOff>160560</xdr:rowOff>
    </xdr:from>
    <xdr:to>
      <xdr:col>19</xdr:col>
      <xdr:colOff>255600</xdr:colOff>
      <xdr:row>18</xdr:row>
      <xdr:rowOff>161280</xdr:rowOff>
    </xdr:to>
    <xdr:graphicFrame>
      <xdr:nvGraphicFramePr>
        <xdr:cNvPr id="3" name="Chart 4"/>
        <xdr:cNvGraphicFramePr/>
      </xdr:nvGraphicFramePr>
      <xdr:xfrm>
        <a:off x="6114960" y="379800"/>
        <a:ext cx="5759280" cy="323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6" min="2" style="1" width="16"/>
  </cols>
  <sheetData>
    <row r="1" customFormat="false" ht="24" hidden="false" customHeight="true" outlineLevel="0" collapsed="false">
      <c r="A1" s="2" t="s">
        <v>0</v>
      </c>
      <c r="B1" s="2"/>
      <c r="C1" s="2"/>
      <c r="D1" s="2"/>
      <c r="E1" s="2"/>
      <c r="F1" s="2"/>
    </row>
    <row r="3" customFormat="false" ht="15" hidden="false" customHeight="true" outlineLevel="0" collapsed="false">
      <c r="A3" s="3" t="s">
        <v>1</v>
      </c>
    </row>
    <row r="4" customFormat="false" ht="15" hidden="false" customHeight="true" outlineLevel="0" collapsed="false">
      <c r="A4" s="4"/>
      <c r="B4" s="4"/>
      <c r="C4" s="4"/>
      <c r="D4" s="4"/>
      <c r="E4" s="4"/>
      <c r="F4" s="4"/>
    </row>
    <row r="5" customFormat="false" ht="15" hidden="false" customHeight="true" outlineLevel="0" collapsed="false">
      <c r="A5" s="4" t="s">
        <v>2</v>
      </c>
      <c r="B5" s="4"/>
      <c r="C5" s="4"/>
      <c r="D5" s="4"/>
      <c r="E5" s="4"/>
      <c r="F5" s="4"/>
    </row>
    <row r="6" customFormat="false" ht="15" hidden="false" customHeight="true" outlineLevel="0" collapsed="false">
      <c r="A6" s="4" t="s">
        <v>3</v>
      </c>
      <c r="B6" s="4"/>
      <c r="C6" s="4"/>
      <c r="D6" s="4"/>
      <c r="E6" s="4"/>
      <c r="F6" s="4"/>
    </row>
    <row r="7" customFormat="false" ht="15" hidden="false" customHeight="true" outlineLevel="0" collapsed="false">
      <c r="A7" s="4" t="s">
        <v>4</v>
      </c>
      <c r="B7" s="4"/>
      <c r="C7" s="4"/>
      <c r="D7" s="4"/>
      <c r="E7" s="4"/>
      <c r="F7" s="4"/>
    </row>
    <row r="8" customFormat="false" ht="15" hidden="false" customHeight="true" outlineLevel="0" collapsed="false">
      <c r="A8" s="4"/>
      <c r="B8" s="4"/>
      <c r="C8" s="4"/>
      <c r="D8" s="4"/>
      <c r="E8" s="4"/>
      <c r="F8" s="4"/>
    </row>
    <row r="9" customFormat="false" ht="15" hidden="false" customHeight="true" outlineLevel="0" collapsed="false">
      <c r="A9" s="5" t="s">
        <v>5</v>
      </c>
      <c r="B9" s="5"/>
      <c r="C9" s="5"/>
      <c r="D9" s="5"/>
      <c r="E9" s="5"/>
      <c r="F9" s="5"/>
    </row>
    <row r="10" customFormat="false" ht="15" hidden="false" customHeight="true" outlineLevel="0" collapsed="false">
      <c r="A10" s="4" t="s">
        <v>6</v>
      </c>
      <c r="B10" s="4"/>
      <c r="C10" s="4"/>
      <c r="D10" s="4"/>
      <c r="E10" s="4"/>
      <c r="F10" s="4"/>
    </row>
    <row r="11" customFormat="false" ht="15" hidden="false" customHeight="true" outlineLevel="0" collapsed="false">
      <c r="A11" s="4" t="s">
        <v>7</v>
      </c>
      <c r="B11" s="4"/>
      <c r="C11" s="4"/>
      <c r="D11" s="4"/>
      <c r="E11" s="4"/>
      <c r="F11" s="4"/>
    </row>
    <row r="12" customFormat="false" ht="15" hidden="false" customHeight="true" outlineLevel="0" collapsed="false">
      <c r="A12" s="4" t="s">
        <v>8</v>
      </c>
      <c r="B12" s="4"/>
      <c r="C12" s="4"/>
      <c r="D12" s="4"/>
      <c r="E12" s="4"/>
      <c r="F12" s="4"/>
    </row>
    <row r="13" customFormat="false" ht="15" hidden="false" customHeight="true" outlineLevel="0" collapsed="false">
      <c r="A13" s="4" t="s">
        <v>9</v>
      </c>
      <c r="B13" s="4"/>
      <c r="C13" s="4"/>
      <c r="D13" s="4"/>
      <c r="E13" s="4"/>
      <c r="F13" s="4"/>
    </row>
    <row r="14" customFormat="false" ht="15" hidden="false" customHeight="true" outlineLevel="0" collapsed="false">
      <c r="A14" s="4" t="s">
        <v>10</v>
      </c>
      <c r="B14" s="4"/>
      <c r="C14" s="4"/>
      <c r="D14" s="4"/>
      <c r="E14" s="4"/>
      <c r="F14" s="4"/>
    </row>
    <row r="15" customFormat="false" ht="15" hidden="false" customHeight="true" outlineLevel="0" collapsed="false">
      <c r="A15" s="4"/>
      <c r="B15" s="4"/>
      <c r="C15" s="4"/>
      <c r="D15" s="4"/>
      <c r="E15" s="4"/>
      <c r="F15" s="4"/>
    </row>
    <row r="16" customFormat="false" ht="15" hidden="false" customHeight="true" outlineLevel="0" collapsed="false">
      <c r="A16" s="5" t="s">
        <v>11</v>
      </c>
      <c r="B16" s="5"/>
      <c r="C16" s="5"/>
      <c r="D16" s="5"/>
      <c r="E16" s="5"/>
      <c r="F16" s="5"/>
    </row>
    <row r="17" customFormat="false" ht="15" hidden="false" customHeight="true" outlineLevel="0" collapsed="false">
      <c r="A17" s="4" t="s">
        <v>12</v>
      </c>
      <c r="B17" s="4"/>
      <c r="C17" s="4"/>
      <c r="D17" s="4"/>
      <c r="E17" s="4"/>
      <c r="F17" s="4"/>
    </row>
    <row r="18" customFormat="false" ht="15" hidden="false" customHeight="true" outlineLevel="0" collapsed="false">
      <c r="A18" s="4" t="s">
        <v>13</v>
      </c>
      <c r="B18" s="4"/>
      <c r="C18" s="4"/>
      <c r="D18" s="4"/>
      <c r="E18" s="4"/>
      <c r="F18" s="4"/>
    </row>
    <row r="19" customFormat="false" ht="15" hidden="false" customHeight="true" outlineLevel="0" collapsed="false">
      <c r="A19" s="4" t="s">
        <v>14</v>
      </c>
      <c r="B19" s="4"/>
      <c r="C19" s="4"/>
      <c r="D19" s="4"/>
      <c r="E19" s="4"/>
      <c r="F19" s="4"/>
    </row>
    <row r="20" customFormat="false" ht="15" hidden="false" customHeight="true" outlineLevel="0" collapsed="false">
      <c r="A20" s="4" t="s">
        <v>15</v>
      </c>
      <c r="B20" s="4"/>
      <c r="C20" s="4"/>
      <c r="D20" s="4"/>
      <c r="E20" s="4"/>
      <c r="F20" s="4"/>
    </row>
    <row r="21" customFormat="false" ht="15" hidden="false" customHeight="true" outlineLevel="0" collapsed="false">
      <c r="A21" s="4"/>
      <c r="B21" s="4"/>
      <c r="C21" s="4"/>
      <c r="D21" s="4"/>
      <c r="E21" s="4"/>
      <c r="F21" s="4"/>
    </row>
    <row r="22" customFormat="false" ht="15" hidden="false" customHeight="true" outlineLevel="0" collapsed="false">
      <c r="A22" s="4" t="s">
        <v>16</v>
      </c>
      <c r="B22" s="4"/>
      <c r="C22" s="4"/>
      <c r="D22" s="4"/>
      <c r="E22" s="4"/>
      <c r="F22" s="4"/>
    </row>
    <row r="23" customFormat="false" ht="15" hidden="false" customHeight="true" outlineLevel="0" collapsed="false">
      <c r="A23" s="4" t="s">
        <v>17</v>
      </c>
      <c r="B23" s="4"/>
      <c r="C23" s="4"/>
      <c r="D23" s="4"/>
      <c r="E23" s="4"/>
      <c r="F23" s="4"/>
    </row>
    <row r="24" customFormat="false" ht="15" hidden="false" customHeight="true" outlineLevel="0" collapsed="false">
      <c r="A24" s="4"/>
      <c r="B24" s="4"/>
      <c r="C24" s="4"/>
      <c r="D24" s="4"/>
      <c r="E24" s="4"/>
      <c r="F24" s="4"/>
    </row>
    <row r="25" customFormat="false" ht="15" hidden="false" customHeight="true" outlineLevel="0" collapsed="false">
      <c r="A25" s="4" t="s">
        <v>18</v>
      </c>
      <c r="B25" s="4"/>
      <c r="C25" s="4"/>
      <c r="D25" s="4"/>
      <c r="E25" s="4"/>
      <c r="F25" s="4"/>
    </row>
    <row r="26" customFormat="false" ht="15" hidden="false" customHeight="true" outlineLevel="0" collapsed="false">
      <c r="A26" s="4" t="s">
        <v>19</v>
      </c>
      <c r="B26" s="4"/>
      <c r="C26" s="4"/>
      <c r="D26" s="4"/>
      <c r="E26" s="4"/>
      <c r="F26" s="4"/>
    </row>
    <row r="27" customFormat="false" ht="15" hidden="false" customHeight="true" outlineLevel="0" collapsed="false">
      <c r="A27" s="4" t="s">
        <v>20</v>
      </c>
      <c r="B27" s="4"/>
      <c r="C27" s="4"/>
      <c r="D27" s="4"/>
      <c r="E27" s="4"/>
      <c r="F27" s="4"/>
    </row>
    <row r="28" customFormat="false" ht="15" hidden="false" customHeight="true" outlineLevel="0" collapsed="false">
      <c r="A28" s="4" t="s">
        <v>21</v>
      </c>
      <c r="B28" s="4"/>
      <c r="C28" s="4"/>
      <c r="D28" s="4"/>
      <c r="E28" s="4"/>
      <c r="F28" s="4"/>
    </row>
  </sheetData>
  <mergeCells count="26">
    <mergeCell ref="A1:F1"/>
    <mergeCell ref="A4:F4"/>
    <mergeCell ref="A5:F5"/>
    <mergeCell ref="A6:F6"/>
    <mergeCell ref="A7:F7"/>
    <mergeCell ref="A8:F8"/>
    <mergeCell ref="A9:F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A20:F20"/>
    <mergeCell ref="A21:F21"/>
    <mergeCell ref="A22:F22"/>
    <mergeCell ref="A23:F23"/>
    <mergeCell ref="A24:F24"/>
    <mergeCell ref="A25:F25"/>
    <mergeCell ref="A26:F26"/>
    <mergeCell ref="A27:F27"/>
    <mergeCell ref="A28:F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9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12"/>
    <col collapsed="false" customWidth="true" hidden="false" outlineLevel="0" max="3" min="3" style="1" width="16"/>
    <col collapsed="false" customWidth="true" hidden="false" outlineLevel="0" max="4" min="4" style="1" width="9"/>
    <col collapsed="false" customWidth="true" hidden="false" outlineLevel="0" max="6" min="5" style="1" width="14"/>
    <col collapsed="false" customWidth="true" hidden="false" outlineLevel="0" max="7" min="7" style="1" width="20"/>
    <col collapsed="false" customWidth="true" hidden="false" outlineLevel="0" max="8" min="8" style="1" width="11"/>
    <col collapsed="false" customWidth="true" hidden="false" outlineLevel="0" max="10" min="9" style="1" width="10"/>
    <col collapsed="false" customWidth="true" hidden="false" outlineLevel="0" max="12" min="11" style="1" width="9"/>
  </cols>
  <sheetData>
    <row r="1" customFormat="false" ht="17.25" hidden="false" customHeight="true" outlineLevel="0" collapsed="false">
      <c r="A1" s="6" t="s">
        <v>22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3" customFormat="false" ht="15" hidden="false" customHeight="true" outlineLevel="0" collapsed="false">
      <c r="A3" s="7" t="s">
        <v>23</v>
      </c>
      <c r="B3" s="7" t="s">
        <v>24</v>
      </c>
      <c r="C3" s="7" t="s">
        <v>25</v>
      </c>
      <c r="D3" s="7" t="s">
        <v>26</v>
      </c>
      <c r="E3" s="7" t="s">
        <v>27</v>
      </c>
      <c r="F3" s="7" t="s">
        <v>28</v>
      </c>
      <c r="G3" s="7" t="s">
        <v>29</v>
      </c>
      <c r="H3" s="7" t="s">
        <v>30</v>
      </c>
      <c r="I3" s="7" t="s">
        <v>31</v>
      </c>
      <c r="J3" s="7" t="s">
        <v>32</v>
      </c>
      <c r="K3" s="7" t="s">
        <v>33</v>
      </c>
      <c r="L3" s="7" t="s">
        <v>34</v>
      </c>
      <c r="N3" s="8" t="s">
        <v>35</v>
      </c>
    </row>
    <row r="4" customFormat="false" ht="15" hidden="false" customHeight="true" outlineLevel="0" collapsed="false">
      <c r="A4" s="9" t="s">
        <v>36</v>
      </c>
      <c r="B4" s="9" t="s">
        <v>37</v>
      </c>
      <c r="C4" s="9" t="s">
        <v>38</v>
      </c>
      <c r="D4" s="9" t="s">
        <v>39</v>
      </c>
      <c r="E4" s="9" t="s">
        <v>40</v>
      </c>
      <c r="F4" s="9" t="s">
        <v>41</v>
      </c>
      <c r="G4" s="9" t="s">
        <v>42</v>
      </c>
      <c r="H4" s="9" t="s">
        <v>43</v>
      </c>
      <c r="I4" s="9" t="n">
        <v>6</v>
      </c>
      <c r="J4" s="9" t="n">
        <v>1890.96</v>
      </c>
      <c r="K4" s="9" t="n">
        <v>0.2</v>
      </c>
      <c r="L4" s="9" t="n">
        <v>383.98</v>
      </c>
      <c r="N4" s="10" t="s">
        <v>44</v>
      </c>
      <c r="O4" s="10"/>
      <c r="P4" s="10"/>
      <c r="Q4" s="10"/>
      <c r="R4" s="10"/>
    </row>
    <row r="5" customFormat="false" ht="15" hidden="false" customHeight="true" outlineLevel="0" collapsed="false">
      <c r="A5" s="9" t="s">
        <v>45</v>
      </c>
      <c r="B5" s="9" t="s">
        <v>46</v>
      </c>
      <c r="C5" s="9" t="s">
        <v>47</v>
      </c>
      <c r="D5" s="9" t="s">
        <v>48</v>
      </c>
      <c r="E5" s="9" t="s">
        <v>49</v>
      </c>
      <c r="F5" s="9" t="s">
        <v>50</v>
      </c>
      <c r="G5" s="9" t="s">
        <v>51</v>
      </c>
      <c r="H5" s="9" t="s">
        <v>52</v>
      </c>
      <c r="I5" s="9" t="n">
        <v>10</v>
      </c>
      <c r="J5" s="9" t="n">
        <v>1565.3</v>
      </c>
      <c r="K5" s="9" t="n">
        <v>0</v>
      </c>
      <c r="L5" s="9" t="n">
        <v>215.04</v>
      </c>
      <c r="N5" s="10"/>
      <c r="O5" s="10"/>
      <c r="P5" s="10"/>
      <c r="Q5" s="10"/>
      <c r="R5" s="10"/>
    </row>
    <row r="6" customFormat="false" ht="15" hidden="false" customHeight="true" outlineLevel="0" collapsed="false">
      <c r="A6" s="9" t="s">
        <v>53</v>
      </c>
      <c r="B6" s="9" t="s">
        <v>54</v>
      </c>
      <c r="C6" s="9"/>
      <c r="D6" s="9" t="s">
        <v>48</v>
      </c>
      <c r="E6" s="9" t="s">
        <v>40</v>
      </c>
      <c r="F6" s="9" t="s">
        <v>41</v>
      </c>
      <c r="G6" s="9" t="s">
        <v>55</v>
      </c>
      <c r="H6" s="9" t="s">
        <v>43</v>
      </c>
      <c r="I6" s="9" t="n">
        <v>4</v>
      </c>
      <c r="J6" s="9" t="n">
        <v>2003.92</v>
      </c>
      <c r="K6" s="9" t="n">
        <v>0</v>
      </c>
      <c r="L6" s="9" t="n">
        <v>267.88</v>
      </c>
      <c r="N6" s="10"/>
      <c r="O6" s="10"/>
      <c r="P6" s="10"/>
      <c r="Q6" s="10"/>
      <c r="R6" s="10"/>
    </row>
    <row r="7" customFormat="false" ht="15" hidden="false" customHeight="true" outlineLevel="0" collapsed="false">
      <c r="A7" s="9" t="s">
        <v>56</v>
      </c>
      <c r="B7" s="9" t="s">
        <v>57</v>
      </c>
      <c r="C7" s="9" t="s">
        <v>58</v>
      </c>
      <c r="D7" s="9" t="s">
        <v>48</v>
      </c>
      <c r="E7" s="9" t="s">
        <v>40</v>
      </c>
      <c r="F7" s="9" t="s">
        <v>59</v>
      </c>
      <c r="G7" s="9" t="s">
        <v>60</v>
      </c>
      <c r="H7" s="9" t="s">
        <v>52</v>
      </c>
      <c r="I7" s="9" t="n">
        <v>11</v>
      </c>
      <c r="J7" s="9" t="n">
        <v>6111.93</v>
      </c>
      <c r="K7" s="9" t="n">
        <v>0.15</v>
      </c>
      <c r="L7" s="9" t="n">
        <v>1261.89</v>
      </c>
      <c r="N7" s="10"/>
      <c r="O7" s="10"/>
      <c r="P7" s="10"/>
      <c r="Q7" s="10"/>
      <c r="R7" s="10"/>
    </row>
    <row r="8" customFormat="false" ht="15" hidden="false" customHeight="true" outlineLevel="0" collapsed="false">
      <c r="A8" s="9" t="s">
        <v>61</v>
      </c>
      <c r="B8" s="9" t="s">
        <v>62</v>
      </c>
      <c r="C8" s="9" t="s">
        <v>63</v>
      </c>
      <c r="D8" s="9" t="s">
        <v>64</v>
      </c>
      <c r="E8" s="9" t="s">
        <v>65</v>
      </c>
      <c r="F8" s="9" t="s">
        <v>66</v>
      </c>
      <c r="G8" s="9" t="s">
        <v>67</v>
      </c>
      <c r="H8" s="9" t="s">
        <v>52</v>
      </c>
      <c r="I8" s="9" t="n">
        <v>6</v>
      </c>
      <c r="J8" s="9" t="n">
        <v>3415.68</v>
      </c>
      <c r="K8" s="9" t="n">
        <v>0.15</v>
      </c>
      <c r="L8" s="9" t="n">
        <v>924.65</v>
      </c>
      <c r="N8" s="10"/>
      <c r="O8" s="10"/>
      <c r="P8" s="10"/>
      <c r="Q8" s="10"/>
      <c r="R8" s="10"/>
    </row>
    <row r="9" customFormat="false" ht="15" hidden="false" customHeight="true" outlineLevel="0" collapsed="false">
      <c r="A9" s="9" t="s">
        <v>68</v>
      </c>
      <c r="B9" s="9" t="s">
        <v>69</v>
      </c>
      <c r="C9" s="9" t="s">
        <v>70</v>
      </c>
      <c r="D9" s="9" t="s">
        <v>71</v>
      </c>
      <c r="E9" s="9" t="s">
        <v>40</v>
      </c>
      <c r="F9" s="9" t="s">
        <v>41</v>
      </c>
      <c r="G9" s="9" t="s">
        <v>72</v>
      </c>
      <c r="H9" s="9" t="s">
        <v>43</v>
      </c>
      <c r="I9" s="9" t="n">
        <v>10</v>
      </c>
      <c r="J9" s="9" t="n">
        <v>2390.4</v>
      </c>
      <c r="K9" s="9" t="n">
        <v>0.3</v>
      </c>
      <c r="L9" s="9" t="n">
        <v>472.97</v>
      </c>
    </row>
    <row r="10" customFormat="false" ht="15" hidden="false" customHeight="true" outlineLevel="0" collapsed="false">
      <c r="A10" s="9" t="s">
        <v>73</v>
      </c>
      <c r="B10" s="9" t="s">
        <v>74</v>
      </c>
      <c r="C10" s="9" t="s">
        <v>75</v>
      </c>
      <c r="D10" s="9" t="s">
        <v>48</v>
      </c>
      <c r="E10" s="9" t="s">
        <v>65</v>
      </c>
      <c r="F10" s="9" t="s">
        <v>76</v>
      </c>
      <c r="G10" s="9" t="s">
        <v>77</v>
      </c>
      <c r="H10" s="9" t="s">
        <v>43</v>
      </c>
      <c r="I10" s="9" t="n">
        <v>11</v>
      </c>
      <c r="J10" s="9" t="n">
        <v>6247.34</v>
      </c>
      <c r="K10" s="9" t="n">
        <v>0.3</v>
      </c>
      <c r="L10" s="9" t="n">
        <v>1216.39</v>
      </c>
    </row>
    <row r="11" customFormat="false" ht="15" hidden="false" customHeight="true" outlineLevel="0" collapsed="false">
      <c r="A11" s="9" t="s">
        <v>78</v>
      </c>
      <c r="B11" s="9" t="s">
        <v>79</v>
      </c>
      <c r="C11" s="9" t="s">
        <v>58</v>
      </c>
      <c r="D11" s="9" t="s">
        <v>48</v>
      </c>
      <c r="E11" s="9" t="s">
        <v>65</v>
      </c>
      <c r="F11" s="9" t="s">
        <v>80</v>
      </c>
      <c r="G11" s="9" t="s">
        <v>81</v>
      </c>
      <c r="H11" s="9" t="s">
        <v>82</v>
      </c>
      <c r="I11" s="9" t="n">
        <v>2</v>
      </c>
      <c r="J11" s="9" t="n">
        <v>374.26</v>
      </c>
      <c r="K11" s="9" t="n">
        <v>0.1</v>
      </c>
      <c r="L11" s="9" t="n">
        <v>86.75</v>
      </c>
    </row>
    <row r="12" customFormat="false" ht="15" hidden="false" customHeight="true" outlineLevel="0" collapsed="false">
      <c r="A12" s="9" t="s">
        <v>83</v>
      </c>
      <c r="B12" s="9" t="s">
        <v>84</v>
      </c>
      <c r="C12" s="9" t="s">
        <v>58</v>
      </c>
      <c r="D12" s="9" t="s">
        <v>64</v>
      </c>
      <c r="E12" s="9" t="s">
        <v>49</v>
      </c>
      <c r="F12" s="9" t="s">
        <v>50</v>
      </c>
      <c r="G12" s="9" t="s">
        <v>85</v>
      </c>
      <c r="H12" s="9" t="s">
        <v>82</v>
      </c>
      <c r="I12" s="9" t="n">
        <v>6</v>
      </c>
      <c r="J12" s="9" t="n">
        <v>678.96</v>
      </c>
      <c r="K12" s="9" t="n">
        <v>0.15</v>
      </c>
      <c r="L12" s="9" t="n">
        <v>195.71</v>
      </c>
    </row>
    <row r="13" customFormat="false" ht="15" hidden="false" customHeight="true" outlineLevel="0" collapsed="false">
      <c r="A13" s="9" t="s">
        <v>86</v>
      </c>
      <c r="B13" s="9" t="s">
        <v>87</v>
      </c>
      <c r="C13" s="9" t="s">
        <v>88</v>
      </c>
      <c r="D13" s="9" t="s">
        <v>48</v>
      </c>
      <c r="E13" s="9" t="s">
        <v>65</v>
      </c>
      <c r="F13" s="9" t="s">
        <v>66</v>
      </c>
      <c r="G13" s="9" t="s">
        <v>89</v>
      </c>
      <c r="H13" s="9" t="s">
        <v>82</v>
      </c>
      <c r="I13" s="9" t="n">
        <v>9</v>
      </c>
      <c r="J13" s="9" t="n">
        <v>3544.29</v>
      </c>
      <c r="K13" s="9" t="n">
        <v>0</v>
      </c>
      <c r="L13" s="9" t="n">
        <v>1080.56</v>
      </c>
    </row>
    <row r="14" customFormat="false" ht="15" hidden="false" customHeight="true" outlineLevel="0" collapsed="false">
      <c r="A14" s="9" t="s">
        <v>90</v>
      </c>
      <c r="B14" s="9" t="s">
        <v>91</v>
      </c>
      <c r="C14" s="9"/>
      <c r="D14" s="9" t="s">
        <v>39</v>
      </c>
      <c r="E14" s="9" t="s">
        <v>49</v>
      </c>
      <c r="F14" s="9" t="s">
        <v>50</v>
      </c>
      <c r="G14" s="9" t="s">
        <v>92</v>
      </c>
      <c r="H14" s="9" t="s">
        <v>52</v>
      </c>
      <c r="I14" s="9" t="n">
        <v>8</v>
      </c>
      <c r="J14" s="9" t="n">
        <v>3095.04</v>
      </c>
      <c r="K14" s="9" t="n">
        <v>0</v>
      </c>
      <c r="L14" s="9" t="n">
        <v>305.78</v>
      </c>
    </row>
    <row r="15" customFormat="false" ht="15" hidden="false" customHeight="true" outlineLevel="0" collapsed="false">
      <c r="A15" s="9" t="s">
        <v>93</v>
      </c>
      <c r="B15" s="9" t="s">
        <v>94</v>
      </c>
      <c r="C15" s="9" t="s">
        <v>38</v>
      </c>
      <c r="D15" s="9" t="s">
        <v>39</v>
      </c>
      <c r="E15" s="9" t="s">
        <v>65</v>
      </c>
      <c r="F15" s="9" t="s">
        <v>80</v>
      </c>
      <c r="G15" s="9" t="s">
        <v>95</v>
      </c>
      <c r="H15" s="9" t="s">
        <v>52</v>
      </c>
      <c r="I15" s="9" t="n">
        <v>4</v>
      </c>
      <c r="J15" s="9" t="n">
        <v>1242.52</v>
      </c>
      <c r="K15" s="9" t="n">
        <v>0</v>
      </c>
      <c r="L15" s="9" t="n">
        <v>271.33</v>
      </c>
    </row>
    <row r="16" customFormat="false" ht="15" hidden="false" customHeight="true" outlineLevel="0" collapsed="false">
      <c r="A16" s="9" t="s">
        <v>96</v>
      </c>
      <c r="B16" s="9" t="s">
        <v>97</v>
      </c>
      <c r="C16" s="9" t="s">
        <v>98</v>
      </c>
      <c r="D16" s="9" t="s">
        <v>64</v>
      </c>
      <c r="E16" s="9" t="s">
        <v>40</v>
      </c>
      <c r="F16" s="9" t="s">
        <v>41</v>
      </c>
      <c r="G16" s="9" t="s">
        <v>99</v>
      </c>
      <c r="H16" s="9" t="s">
        <v>43</v>
      </c>
      <c r="I16" s="9" t="n">
        <v>2</v>
      </c>
      <c r="J16" s="9" t="n">
        <v>579.92</v>
      </c>
      <c r="K16" s="9" t="n">
        <v>0.1</v>
      </c>
      <c r="L16" s="9" t="n">
        <v>78.29</v>
      </c>
    </row>
    <row r="17" customFormat="false" ht="15" hidden="false" customHeight="true" outlineLevel="0" collapsed="false">
      <c r="A17" s="9" t="s">
        <v>100</v>
      </c>
      <c r="B17" s="9" t="s">
        <v>101</v>
      </c>
      <c r="C17" s="9" t="s">
        <v>102</v>
      </c>
      <c r="D17" s="9" t="s">
        <v>71</v>
      </c>
      <c r="E17" s="9" t="s">
        <v>49</v>
      </c>
      <c r="F17" s="9" t="s">
        <v>50</v>
      </c>
      <c r="G17" s="9" t="s">
        <v>103</v>
      </c>
      <c r="H17" s="9" t="s">
        <v>52</v>
      </c>
      <c r="I17" s="9" t="n">
        <v>3</v>
      </c>
      <c r="J17" s="9" t="n">
        <v>87.87</v>
      </c>
      <c r="K17" s="9" t="n">
        <v>0</v>
      </c>
      <c r="L17" s="9" t="n">
        <v>30.33</v>
      </c>
    </row>
    <row r="18" customFormat="false" ht="15" hidden="false" customHeight="true" outlineLevel="0" collapsed="false">
      <c r="A18" s="9" t="s">
        <v>104</v>
      </c>
      <c r="B18" s="9" t="s">
        <v>105</v>
      </c>
      <c r="C18" s="9" t="s">
        <v>102</v>
      </c>
      <c r="D18" s="9" t="s">
        <v>71</v>
      </c>
      <c r="E18" s="9" t="s">
        <v>40</v>
      </c>
      <c r="F18" s="9" t="s">
        <v>59</v>
      </c>
      <c r="G18" s="9" t="s">
        <v>106</v>
      </c>
      <c r="H18" s="9" t="s">
        <v>52</v>
      </c>
      <c r="I18" s="9" t="n">
        <v>3</v>
      </c>
      <c r="J18" s="9" t="n">
        <v>1337.52</v>
      </c>
      <c r="K18" s="9" t="n">
        <v>0.2</v>
      </c>
      <c r="L18" s="9" t="n">
        <v>291.26</v>
      </c>
    </row>
    <row r="19" customFormat="false" ht="15" hidden="false" customHeight="true" outlineLevel="0" collapsed="false">
      <c r="A19" s="9" t="s">
        <v>107</v>
      </c>
      <c r="B19" s="9" t="s">
        <v>108</v>
      </c>
      <c r="C19" s="9" t="s">
        <v>47</v>
      </c>
      <c r="D19" s="9" t="s">
        <v>39</v>
      </c>
      <c r="E19" s="9" t="s">
        <v>65</v>
      </c>
      <c r="F19" s="9" t="s">
        <v>109</v>
      </c>
      <c r="G19" s="9" t="s">
        <v>110</v>
      </c>
      <c r="H19" s="9" t="s">
        <v>82</v>
      </c>
      <c r="I19" s="9" t="n">
        <v>4</v>
      </c>
      <c r="J19" s="9" t="n">
        <v>2023.8</v>
      </c>
      <c r="K19" s="9" t="n">
        <v>0.15</v>
      </c>
      <c r="L19" s="9" t="n">
        <v>164.65</v>
      </c>
    </row>
    <row r="20" customFormat="false" ht="15" hidden="false" customHeight="true" outlineLevel="0" collapsed="false">
      <c r="A20" s="9" t="s">
        <v>111</v>
      </c>
      <c r="B20" s="9" t="s">
        <v>112</v>
      </c>
      <c r="C20" s="9" t="s">
        <v>113</v>
      </c>
      <c r="D20" s="9" t="s">
        <v>71</v>
      </c>
      <c r="E20" s="9" t="s">
        <v>40</v>
      </c>
      <c r="F20" s="9" t="s">
        <v>59</v>
      </c>
      <c r="G20" s="9" t="s">
        <v>60</v>
      </c>
      <c r="H20" s="9" t="s">
        <v>82</v>
      </c>
      <c r="I20" s="9" t="n">
        <v>3</v>
      </c>
      <c r="J20" s="9" t="n">
        <v>329.73</v>
      </c>
      <c r="K20" s="9" t="n">
        <v>0.3</v>
      </c>
      <c r="L20" s="9" t="n">
        <v>59.52</v>
      </c>
    </row>
    <row r="21" customFormat="false" ht="15" hidden="false" customHeight="true" outlineLevel="0" collapsed="false">
      <c r="A21" s="9" t="s">
        <v>114</v>
      </c>
      <c r="B21" s="9" t="s">
        <v>115</v>
      </c>
      <c r="C21" s="9" t="s">
        <v>58</v>
      </c>
      <c r="D21" s="9" t="s">
        <v>64</v>
      </c>
      <c r="E21" s="9" t="s">
        <v>40</v>
      </c>
      <c r="F21" s="9" t="s">
        <v>41</v>
      </c>
      <c r="G21" s="9" t="s">
        <v>116</v>
      </c>
      <c r="H21" s="9" t="s">
        <v>82</v>
      </c>
      <c r="I21" s="9" t="n">
        <v>10</v>
      </c>
      <c r="J21" s="9" t="n">
        <v>3274.6</v>
      </c>
      <c r="K21" s="9" t="n">
        <v>0.1</v>
      </c>
      <c r="L21" s="9" t="n">
        <v>670.67</v>
      </c>
    </row>
    <row r="22" customFormat="false" ht="15" hidden="false" customHeight="true" outlineLevel="0" collapsed="false">
      <c r="A22" s="9" t="s">
        <v>117</v>
      </c>
      <c r="B22" s="9" t="s">
        <v>118</v>
      </c>
      <c r="C22" s="9" t="s">
        <v>113</v>
      </c>
      <c r="D22" s="9" t="s">
        <v>64</v>
      </c>
      <c r="E22" s="9" t="s">
        <v>65</v>
      </c>
      <c r="F22" s="9" t="s">
        <v>109</v>
      </c>
      <c r="G22" s="9" t="s">
        <v>119</v>
      </c>
      <c r="H22" s="9" t="s">
        <v>43</v>
      </c>
      <c r="I22" s="9" t="n">
        <v>3</v>
      </c>
      <c r="J22" s="9" t="n">
        <v>237.93</v>
      </c>
      <c r="K22" s="9" t="n">
        <v>0.3</v>
      </c>
      <c r="L22" s="9" t="n">
        <v>9.62</v>
      </c>
    </row>
    <row r="23" customFormat="false" ht="15" hidden="false" customHeight="true" outlineLevel="0" collapsed="false">
      <c r="A23" s="9" t="s">
        <v>120</v>
      </c>
      <c r="B23" s="9" t="s">
        <v>121</v>
      </c>
      <c r="C23" s="9" t="s">
        <v>63</v>
      </c>
      <c r="D23" s="9" t="s">
        <v>71</v>
      </c>
      <c r="E23" s="9" t="s">
        <v>49</v>
      </c>
      <c r="F23" s="9" t="s">
        <v>50</v>
      </c>
      <c r="G23" s="9" t="s">
        <v>122</v>
      </c>
      <c r="H23" s="9" t="s">
        <v>43</v>
      </c>
      <c r="I23" s="9" t="n">
        <v>7</v>
      </c>
      <c r="J23" s="9" t="n">
        <v>3646.79</v>
      </c>
      <c r="K23" s="9" t="n">
        <v>0.3</v>
      </c>
      <c r="L23" s="9" t="n">
        <v>884.36</v>
      </c>
    </row>
    <row r="24" customFormat="false" ht="15" hidden="false" customHeight="true" outlineLevel="0" collapsed="false">
      <c r="A24" s="9" t="s">
        <v>123</v>
      </c>
      <c r="B24" s="9" t="s">
        <v>124</v>
      </c>
      <c r="C24" s="9" t="s">
        <v>38</v>
      </c>
      <c r="D24" s="9" t="s">
        <v>39</v>
      </c>
      <c r="E24" s="9" t="s">
        <v>65</v>
      </c>
      <c r="F24" s="9" t="s">
        <v>109</v>
      </c>
      <c r="G24" s="9" t="s">
        <v>125</v>
      </c>
      <c r="H24" s="9" t="s">
        <v>43</v>
      </c>
      <c r="I24" s="9" t="n">
        <v>9</v>
      </c>
      <c r="J24" s="9" t="n">
        <v>1531.26</v>
      </c>
      <c r="K24" s="9" t="n">
        <v>0</v>
      </c>
      <c r="L24" s="9" t="n">
        <v>481.21</v>
      </c>
    </row>
    <row r="25" customFormat="false" ht="15" hidden="false" customHeight="true" outlineLevel="0" collapsed="false">
      <c r="A25" s="9" t="s">
        <v>126</v>
      </c>
      <c r="B25" s="9" t="s">
        <v>127</v>
      </c>
      <c r="C25" s="9" t="s">
        <v>128</v>
      </c>
      <c r="D25" s="9" t="s">
        <v>71</v>
      </c>
      <c r="E25" s="9" t="s">
        <v>49</v>
      </c>
      <c r="F25" s="9" t="s">
        <v>129</v>
      </c>
      <c r="G25" s="9" t="s">
        <v>130</v>
      </c>
      <c r="H25" s="9" t="s">
        <v>52</v>
      </c>
      <c r="I25" s="9" t="n">
        <v>9</v>
      </c>
      <c r="J25" s="9" t="n">
        <v>3468.96</v>
      </c>
      <c r="K25" s="9" t="n">
        <v>0.15</v>
      </c>
      <c r="L25" s="9" t="n">
        <v>598.53</v>
      </c>
    </row>
    <row r="26" customFormat="false" ht="15" hidden="false" customHeight="true" outlineLevel="0" collapsed="false">
      <c r="A26" s="9" t="s">
        <v>131</v>
      </c>
      <c r="B26" s="9" t="s">
        <v>132</v>
      </c>
      <c r="C26" s="9" t="s">
        <v>98</v>
      </c>
      <c r="D26" s="9" t="s">
        <v>48</v>
      </c>
      <c r="E26" s="9" t="s">
        <v>65</v>
      </c>
      <c r="F26" s="9" t="s">
        <v>76</v>
      </c>
      <c r="G26" s="9" t="s">
        <v>133</v>
      </c>
      <c r="H26" s="9" t="s">
        <v>52</v>
      </c>
      <c r="I26" s="9" t="n">
        <v>9</v>
      </c>
      <c r="J26" s="9" t="n">
        <v>2588.13</v>
      </c>
      <c r="K26" s="9" t="n">
        <v>0</v>
      </c>
      <c r="L26" s="9" t="n">
        <v>290</v>
      </c>
    </row>
    <row r="27" customFormat="false" ht="15" hidden="false" customHeight="true" outlineLevel="0" collapsed="false">
      <c r="A27" s="9" t="s">
        <v>134</v>
      </c>
      <c r="B27" s="9" t="s">
        <v>135</v>
      </c>
      <c r="C27" s="9" t="s">
        <v>128</v>
      </c>
      <c r="D27" s="9" t="s">
        <v>71</v>
      </c>
      <c r="E27" s="9" t="s">
        <v>49</v>
      </c>
      <c r="F27" s="9" t="s">
        <v>50</v>
      </c>
      <c r="G27" s="9" t="s">
        <v>136</v>
      </c>
      <c r="H27" s="9" t="s">
        <v>43</v>
      </c>
      <c r="I27" s="9" t="n">
        <v>8</v>
      </c>
      <c r="J27" s="9" t="n">
        <v>4543.68</v>
      </c>
      <c r="K27" s="9" t="n">
        <v>0.15</v>
      </c>
      <c r="L27" s="9" t="n">
        <v>539.72</v>
      </c>
    </row>
    <row r="28" customFormat="false" ht="15" hidden="false" customHeight="true" outlineLevel="0" collapsed="false">
      <c r="A28" s="9" t="s">
        <v>137</v>
      </c>
      <c r="B28" s="9" t="s">
        <v>138</v>
      </c>
      <c r="C28" s="9" t="s">
        <v>58</v>
      </c>
      <c r="D28" s="9" t="s">
        <v>39</v>
      </c>
      <c r="E28" s="9" t="s">
        <v>65</v>
      </c>
      <c r="F28" s="9" t="s">
        <v>80</v>
      </c>
      <c r="G28" s="9" t="s">
        <v>139</v>
      </c>
      <c r="H28" s="9" t="s">
        <v>43</v>
      </c>
      <c r="I28" s="9" t="n">
        <v>6</v>
      </c>
      <c r="J28" s="9" t="n">
        <v>2213.58</v>
      </c>
      <c r="K28" s="9" t="n">
        <v>0.15</v>
      </c>
      <c r="L28" s="9" t="n">
        <v>179.23</v>
      </c>
    </row>
    <row r="29" customFormat="false" ht="15" hidden="false" customHeight="true" outlineLevel="0" collapsed="false">
      <c r="A29" s="9" t="s">
        <v>140</v>
      </c>
      <c r="B29" s="9" t="s">
        <v>141</v>
      </c>
      <c r="C29" s="9" t="s">
        <v>142</v>
      </c>
      <c r="D29" s="9" t="s">
        <v>48</v>
      </c>
      <c r="E29" s="9" t="s">
        <v>40</v>
      </c>
      <c r="F29" s="9" t="s">
        <v>143</v>
      </c>
      <c r="G29" s="9" t="s">
        <v>144</v>
      </c>
      <c r="H29" s="9" t="s">
        <v>52</v>
      </c>
      <c r="I29" s="9" t="n">
        <v>3</v>
      </c>
      <c r="J29" s="9" t="n">
        <v>509.85</v>
      </c>
      <c r="K29" s="9" t="n">
        <v>0</v>
      </c>
      <c r="L29" s="9" t="n">
        <v>139.44</v>
      </c>
    </row>
    <row r="30" customFormat="false" ht="15" hidden="false" customHeight="true" outlineLevel="0" collapsed="false">
      <c r="A30" s="9" t="s">
        <v>145</v>
      </c>
      <c r="B30" s="9" t="s">
        <v>146</v>
      </c>
      <c r="C30" s="9" t="s">
        <v>142</v>
      </c>
      <c r="D30" s="9" t="s">
        <v>39</v>
      </c>
      <c r="E30" s="9" t="s">
        <v>65</v>
      </c>
      <c r="F30" s="9" t="s">
        <v>76</v>
      </c>
      <c r="G30" s="9" t="s">
        <v>147</v>
      </c>
      <c r="H30" s="9" t="s">
        <v>43</v>
      </c>
      <c r="I30" s="9" t="n">
        <v>8</v>
      </c>
      <c r="J30" s="9" t="n">
        <v>1454.96</v>
      </c>
      <c r="K30" s="9" t="n">
        <v>0.2</v>
      </c>
      <c r="L30" s="9" t="n">
        <v>392.48</v>
      </c>
    </row>
    <row r="31" customFormat="false" ht="15" hidden="false" customHeight="true" outlineLevel="0" collapsed="false">
      <c r="A31" s="9" t="s">
        <v>148</v>
      </c>
      <c r="B31" s="9" t="s">
        <v>149</v>
      </c>
      <c r="C31" s="9" t="s">
        <v>128</v>
      </c>
      <c r="D31" s="9" t="s">
        <v>48</v>
      </c>
      <c r="E31" s="9" t="s">
        <v>65</v>
      </c>
      <c r="F31" s="9" t="s">
        <v>109</v>
      </c>
      <c r="G31" s="9" t="s">
        <v>150</v>
      </c>
      <c r="H31" s="9" t="s">
        <v>82</v>
      </c>
      <c r="I31" s="9" t="n">
        <v>9</v>
      </c>
      <c r="J31" s="9" t="n">
        <v>556.83</v>
      </c>
      <c r="K31" s="9" t="n">
        <v>0</v>
      </c>
      <c r="L31" s="9" t="n">
        <v>39.29</v>
      </c>
    </row>
    <row r="32" customFormat="false" ht="15" hidden="false" customHeight="true" outlineLevel="0" collapsed="false">
      <c r="A32" s="9" t="s">
        <v>151</v>
      </c>
      <c r="B32" s="9" t="s">
        <v>152</v>
      </c>
      <c r="C32" s="9" t="s">
        <v>98</v>
      </c>
      <c r="D32" s="9" t="s">
        <v>64</v>
      </c>
      <c r="E32" s="9" t="s">
        <v>40</v>
      </c>
      <c r="F32" s="9" t="s">
        <v>41</v>
      </c>
      <c r="G32" s="9" t="s">
        <v>153</v>
      </c>
      <c r="H32" s="9" t="s">
        <v>82</v>
      </c>
      <c r="I32" s="9" t="n">
        <v>8</v>
      </c>
      <c r="J32" s="9" t="n">
        <v>3001.28</v>
      </c>
      <c r="K32" s="9" t="n">
        <v>0</v>
      </c>
      <c r="L32" s="9" t="n">
        <v>179.52</v>
      </c>
    </row>
    <row r="33" customFormat="false" ht="15" hidden="false" customHeight="true" outlineLevel="0" collapsed="false">
      <c r="A33" s="9" t="s">
        <v>154</v>
      </c>
      <c r="B33" s="9" t="s">
        <v>115</v>
      </c>
      <c r="C33" s="9" t="s">
        <v>63</v>
      </c>
      <c r="D33" s="9" t="s">
        <v>48</v>
      </c>
      <c r="E33" s="9" t="s">
        <v>65</v>
      </c>
      <c r="F33" s="9" t="s">
        <v>66</v>
      </c>
      <c r="G33" s="9" t="s">
        <v>155</v>
      </c>
      <c r="H33" s="9" t="s">
        <v>82</v>
      </c>
      <c r="I33" s="9" t="n">
        <v>11</v>
      </c>
      <c r="J33" s="9" t="n">
        <v>4687.76</v>
      </c>
      <c r="K33" s="9" t="n">
        <v>0.2</v>
      </c>
      <c r="L33" s="9" t="n">
        <v>1309.38</v>
      </c>
    </row>
    <row r="34" customFormat="false" ht="15" hidden="false" customHeight="true" outlineLevel="0" collapsed="false">
      <c r="A34" s="9" t="s">
        <v>156</v>
      </c>
      <c r="B34" s="9" t="s">
        <v>157</v>
      </c>
      <c r="C34" s="9" t="s">
        <v>63</v>
      </c>
      <c r="D34" s="9" t="s">
        <v>48</v>
      </c>
      <c r="E34" s="9" t="s">
        <v>65</v>
      </c>
      <c r="F34" s="9" t="s">
        <v>80</v>
      </c>
      <c r="G34" s="9" t="s">
        <v>158</v>
      </c>
      <c r="H34" s="9" t="s">
        <v>43</v>
      </c>
      <c r="I34" s="9" t="n">
        <v>6</v>
      </c>
      <c r="J34" s="9" t="n">
        <v>1183.86</v>
      </c>
      <c r="K34" s="9" t="n">
        <v>0</v>
      </c>
      <c r="L34" s="9" t="n">
        <v>335.09</v>
      </c>
    </row>
    <row r="35" customFormat="false" ht="15" hidden="false" customHeight="true" outlineLevel="0" collapsed="false">
      <c r="A35" s="9" t="s">
        <v>159</v>
      </c>
      <c r="B35" s="9" t="s">
        <v>160</v>
      </c>
      <c r="C35" s="9" t="s">
        <v>161</v>
      </c>
      <c r="D35" s="9" t="s">
        <v>48</v>
      </c>
      <c r="E35" s="9" t="s">
        <v>49</v>
      </c>
      <c r="F35" s="9" t="s">
        <v>129</v>
      </c>
      <c r="G35" s="9" t="s">
        <v>162</v>
      </c>
      <c r="H35" s="9" t="s">
        <v>52</v>
      </c>
      <c r="I35" s="9" t="n">
        <v>10</v>
      </c>
      <c r="J35" s="9" t="n">
        <v>5210.6</v>
      </c>
      <c r="K35" s="9" t="n">
        <v>0.3</v>
      </c>
      <c r="L35" s="9" t="n">
        <v>997.21</v>
      </c>
    </row>
    <row r="36" customFormat="false" ht="15" hidden="false" customHeight="true" outlineLevel="0" collapsed="false">
      <c r="A36" s="9" t="s">
        <v>163</v>
      </c>
      <c r="B36" s="9" t="s">
        <v>164</v>
      </c>
      <c r="C36" s="9" t="s">
        <v>165</v>
      </c>
      <c r="D36" s="9" t="s">
        <v>64</v>
      </c>
      <c r="E36" s="9" t="s">
        <v>65</v>
      </c>
      <c r="F36" s="9" t="s">
        <v>76</v>
      </c>
      <c r="G36" s="9" t="s">
        <v>166</v>
      </c>
      <c r="H36" s="9" t="s">
        <v>43</v>
      </c>
      <c r="I36" s="9" t="n">
        <v>12</v>
      </c>
      <c r="J36" s="9" t="n">
        <v>3582.72</v>
      </c>
      <c r="K36" s="9" t="n">
        <v>0</v>
      </c>
      <c r="L36" s="9" t="n">
        <v>1225.09</v>
      </c>
    </row>
    <row r="37" customFormat="false" ht="15" hidden="false" customHeight="true" outlineLevel="0" collapsed="false">
      <c r="A37" s="9" t="s">
        <v>167</v>
      </c>
      <c r="B37" s="9" t="s">
        <v>168</v>
      </c>
      <c r="C37" s="9" t="s">
        <v>38</v>
      </c>
      <c r="D37" s="9" t="s">
        <v>64</v>
      </c>
      <c r="E37" s="9" t="s">
        <v>65</v>
      </c>
      <c r="F37" s="9" t="s">
        <v>80</v>
      </c>
      <c r="G37" s="9" t="s">
        <v>169</v>
      </c>
      <c r="H37" s="9" t="s">
        <v>52</v>
      </c>
      <c r="I37" s="9" t="n">
        <v>11</v>
      </c>
      <c r="J37" s="9" t="n">
        <v>2522.3</v>
      </c>
      <c r="K37" s="9" t="n">
        <v>0.1</v>
      </c>
      <c r="L37" s="9" t="n">
        <v>760.11</v>
      </c>
    </row>
    <row r="38" customFormat="false" ht="15" hidden="false" customHeight="true" outlineLevel="0" collapsed="false">
      <c r="A38" s="9" t="s">
        <v>170</v>
      </c>
      <c r="B38" s="9" t="s">
        <v>171</v>
      </c>
      <c r="C38" s="9" t="s">
        <v>172</v>
      </c>
      <c r="D38" s="9" t="s">
        <v>71</v>
      </c>
      <c r="E38" s="9" t="s">
        <v>40</v>
      </c>
      <c r="F38" s="9" t="s">
        <v>173</v>
      </c>
      <c r="G38" s="9" t="s">
        <v>174</v>
      </c>
      <c r="H38" s="9" t="s">
        <v>43</v>
      </c>
      <c r="I38" s="9" t="n">
        <v>5</v>
      </c>
      <c r="J38" s="9" t="n">
        <v>439.1</v>
      </c>
      <c r="K38" s="9" t="n">
        <v>0</v>
      </c>
      <c r="L38" s="9" t="n">
        <v>79.51</v>
      </c>
    </row>
    <row r="39" customFormat="false" ht="15" hidden="false" customHeight="true" outlineLevel="0" collapsed="false">
      <c r="A39" s="9" t="s">
        <v>175</v>
      </c>
      <c r="B39" s="9" t="s">
        <v>176</v>
      </c>
      <c r="C39" s="9" t="s">
        <v>47</v>
      </c>
      <c r="D39" s="9" t="s">
        <v>64</v>
      </c>
      <c r="E39" s="9" t="s">
        <v>49</v>
      </c>
      <c r="F39" s="9" t="s">
        <v>129</v>
      </c>
      <c r="G39" s="9" t="s">
        <v>177</v>
      </c>
      <c r="H39" s="9" t="s">
        <v>52</v>
      </c>
      <c r="I39" s="9" t="n">
        <v>7</v>
      </c>
      <c r="J39" s="9" t="n">
        <v>1449.21</v>
      </c>
      <c r="K39" s="9" t="n">
        <v>0.3</v>
      </c>
      <c r="L39" s="9" t="n">
        <v>71.85</v>
      </c>
    </row>
    <row r="40" customFormat="false" ht="15" hidden="false" customHeight="true" outlineLevel="0" collapsed="false">
      <c r="A40" s="9" t="s">
        <v>178</v>
      </c>
      <c r="B40" s="9" t="s">
        <v>179</v>
      </c>
      <c r="C40" s="9" t="s">
        <v>165</v>
      </c>
      <c r="D40" s="9" t="s">
        <v>64</v>
      </c>
      <c r="E40" s="9" t="s">
        <v>65</v>
      </c>
      <c r="F40" s="9" t="s">
        <v>109</v>
      </c>
      <c r="G40" s="9" t="s">
        <v>180</v>
      </c>
      <c r="H40" s="9" t="s">
        <v>52</v>
      </c>
      <c r="I40" s="9" t="n">
        <v>8</v>
      </c>
      <c r="J40" s="9" t="n">
        <v>702</v>
      </c>
      <c r="K40" s="9" t="n">
        <v>0.2</v>
      </c>
      <c r="L40" s="9" t="n">
        <v>79.31</v>
      </c>
    </row>
    <row r="41" customFormat="false" ht="15" hidden="false" customHeight="true" outlineLevel="0" collapsed="false">
      <c r="A41" s="9" t="s">
        <v>181</v>
      </c>
      <c r="B41" s="9" t="s">
        <v>182</v>
      </c>
      <c r="C41" s="9" t="s">
        <v>102</v>
      </c>
      <c r="D41" s="9" t="s">
        <v>71</v>
      </c>
      <c r="E41" s="9" t="s">
        <v>40</v>
      </c>
      <c r="F41" s="9" t="s">
        <v>41</v>
      </c>
      <c r="G41" s="9" t="s">
        <v>183</v>
      </c>
      <c r="H41" s="9" t="s">
        <v>52</v>
      </c>
      <c r="I41" s="9" t="n">
        <v>2</v>
      </c>
      <c r="J41" s="9" t="n">
        <v>85.86</v>
      </c>
      <c r="K41" s="9" t="n">
        <v>0.1</v>
      </c>
      <c r="L41" s="9" t="n">
        <v>18.68</v>
      </c>
    </row>
    <row r="42" customFormat="false" ht="15" hidden="false" customHeight="true" outlineLevel="0" collapsed="false">
      <c r="A42" s="9" t="s">
        <v>184</v>
      </c>
      <c r="B42" s="9" t="s">
        <v>185</v>
      </c>
      <c r="C42" s="9" t="s">
        <v>128</v>
      </c>
      <c r="D42" s="9" t="s">
        <v>48</v>
      </c>
      <c r="E42" s="9" t="s">
        <v>40</v>
      </c>
      <c r="F42" s="9" t="s">
        <v>143</v>
      </c>
      <c r="G42" s="9" t="s">
        <v>186</v>
      </c>
      <c r="H42" s="9" t="s">
        <v>52</v>
      </c>
      <c r="I42" s="9" t="n">
        <v>9</v>
      </c>
      <c r="J42" s="9" t="n">
        <v>5266.53</v>
      </c>
      <c r="K42" s="9" t="n">
        <v>0</v>
      </c>
      <c r="L42" s="9" t="n">
        <v>1769.67</v>
      </c>
    </row>
    <row r="43" customFormat="false" ht="15" hidden="false" customHeight="true" outlineLevel="0" collapsed="false">
      <c r="A43" s="9" t="s">
        <v>187</v>
      </c>
      <c r="B43" s="9" t="s">
        <v>188</v>
      </c>
      <c r="C43" s="9" t="s">
        <v>38</v>
      </c>
      <c r="D43" s="9" t="s">
        <v>48</v>
      </c>
      <c r="E43" s="9" t="s">
        <v>49</v>
      </c>
      <c r="F43" s="9" t="s">
        <v>129</v>
      </c>
      <c r="G43" s="9" t="s">
        <v>189</v>
      </c>
      <c r="H43" s="9" t="s">
        <v>52</v>
      </c>
      <c r="I43" s="9" t="n">
        <v>8</v>
      </c>
      <c r="J43" s="9" t="n">
        <v>3074.88</v>
      </c>
      <c r="K43" s="9" t="n">
        <v>0.3</v>
      </c>
      <c r="L43" s="9" t="n">
        <v>284.98</v>
      </c>
    </row>
    <row r="44" customFormat="false" ht="15" hidden="false" customHeight="true" outlineLevel="0" collapsed="false">
      <c r="A44" s="9" t="s">
        <v>190</v>
      </c>
      <c r="B44" s="9" t="s">
        <v>191</v>
      </c>
      <c r="C44" s="9" t="s">
        <v>161</v>
      </c>
      <c r="D44" s="9" t="s">
        <v>64</v>
      </c>
      <c r="E44" s="9" t="s">
        <v>40</v>
      </c>
      <c r="F44" s="9" t="s">
        <v>41</v>
      </c>
      <c r="G44" s="9" t="s">
        <v>192</v>
      </c>
      <c r="H44" s="9" t="s">
        <v>82</v>
      </c>
      <c r="I44" s="9" t="n">
        <v>10</v>
      </c>
      <c r="J44" s="9" t="n">
        <v>2625.4</v>
      </c>
      <c r="K44" s="9" t="n">
        <v>0</v>
      </c>
      <c r="L44" s="9" t="n">
        <v>862.9</v>
      </c>
    </row>
    <row r="45" customFormat="false" ht="15" hidden="false" customHeight="true" outlineLevel="0" collapsed="false">
      <c r="A45" s="9" t="s">
        <v>193</v>
      </c>
      <c r="B45" s="9" t="s">
        <v>194</v>
      </c>
      <c r="C45" s="9" t="s">
        <v>128</v>
      </c>
      <c r="D45" s="9" t="s">
        <v>48</v>
      </c>
      <c r="E45" s="9" t="s">
        <v>49</v>
      </c>
      <c r="F45" s="9" t="s">
        <v>129</v>
      </c>
      <c r="G45" s="9" t="s">
        <v>195</v>
      </c>
      <c r="H45" s="9" t="s">
        <v>82</v>
      </c>
      <c r="I45" s="9" t="n">
        <v>3</v>
      </c>
      <c r="J45" s="9" t="n">
        <v>1425.33</v>
      </c>
      <c r="K45" s="9" t="n">
        <v>0</v>
      </c>
      <c r="L45" s="9" t="n">
        <v>298.26</v>
      </c>
    </row>
    <row r="46" customFormat="false" ht="15" hidden="false" customHeight="true" outlineLevel="0" collapsed="false">
      <c r="A46" s="9" t="s">
        <v>196</v>
      </c>
      <c r="B46" s="9" t="s">
        <v>197</v>
      </c>
      <c r="C46" s="9" t="s">
        <v>47</v>
      </c>
      <c r="D46" s="9" t="s">
        <v>39</v>
      </c>
      <c r="E46" s="9" t="s">
        <v>65</v>
      </c>
      <c r="F46" s="9" t="s">
        <v>76</v>
      </c>
      <c r="G46" s="9" t="s">
        <v>198</v>
      </c>
      <c r="H46" s="9" t="s">
        <v>43</v>
      </c>
      <c r="I46" s="9" t="n">
        <v>10</v>
      </c>
      <c r="J46" s="9" t="n">
        <v>4112.5</v>
      </c>
      <c r="K46" s="9" t="n">
        <v>0.1</v>
      </c>
      <c r="L46" s="9" t="n">
        <v>625.5</v>
      </c>
    </row>
    <row r="47" customFormat="false" ht="15" hidden="false" customHeight="true" outlineLevel="0" collapsed="false">
      <c r="A47" s="9" t="s">
        <v>199</v>
      </c>
      <c r="B47" s="9" t="s">
        <v>200</v>
      </c>
      <c r="C47" s="9" t="s">
        <v>88</v>
      </c>
      <c r="D47" s="9" t="s">
        <v>48</v>
      </c>
      <c r="E47" s="9" t="s">
        <v>65</v>
      </c>
      <c r="F47" s="9" t="s">
        <v>80</v>
      </c>
      <c r="G47" s="9" t="s">
        <v>201</v>
      </c>
      <c r="H47" s="9" t="s">
        <v>52</v>
      </c>
      <c r="I47" s="9" t="n">
        <v>8</v>
      </c>
      <c r="J47" s="9" t="n">
        <v>2977.6</v>
      </c>
      <c r="K47" s="9" t="n">
        <v>0.3</v>
      </c>
      <c r="L47" s="9" t="n">
        <v>572.27</v>
      </c>
    </row>
    <row r="48" customFormat="false" ht="15" hidden="false" customHeight="true" outlineLevel="0" collapsed="false">
      <c r="A48" s="9" t="s">
        <v>202</v>
      </c>
      <c r="B48" s="9" t="s">
        <v>203</v>
      </c>
      <c r="C48" s="9" t="s">
        <v>142</v>
      </c>
      <c r="D48" s="9" t="s">
        <v>71</v>
      </c>
      <c r="E48" s="9" t="s">
        <v>40</v>
      </c>
      <c r="F48" s="9" t="s">
        <v>173</v>
      </c>
      <c r="G48" s="9" t="s">
        <v>204</v>
      </c>
      <c r="H48" s="9" t="s">
        <v>82</v>
      </c>
      <c r="I48" s="9" t="n">
        <v>8</v>
      </c>
      <c r="J48" s="9" t="n">
        <v>4330.16</v>
      </c>
      <c r="K48" s="9" t="n">
        <v>0.1</v>
      </c>
      <c r="L48" s="9" t="n">
        <v>336.33</v>
      </c>
    </row>
    <row r="49" customFormat="false" ht="15" hidden="false" customHeight="true" outlineLevel="0" collapsed="false">
      <c r="A49" s="9" t="s">
        <v>205</v>
      </c>
      <c r="B49" s="9" t="s">
        <v>206</v>
      </c>
      <c r="C49" s="9" t="s">
        <v>75</v>
      </c>
      <c r="D49" s="9" t="s">
        <v>64</v>
      </c>
      <c r="E49" s="9" t="s">
        <v>49</v>
      </c>
      <c r="F49" s="9" t="s">
        <v>207</v>
      </c>
      <c r="G49" s="9" t="s">
        <v>208</v>
      </c>
      <c r="H49" s="9" t="s">
        <v>43</v>
      </c>
      <c r="I49" s="9" t="n">
        <v>11</v>
      </c>
      <c r="J49" s="9" t="n">
        <v>710.71</v>
      </c>
      <c r="K49" s="9" t="n">
        <v>0.15</v>
      </c>
      <c r="L49" s="9" t="n">
        <v>150.52</v>
      </c>
    </row>
    <row r="50" customFormat="false" ht="15" hidden="false" customHeight="true" outlineLevel="0" collapsed="false">
      <c r="A50" s="9" t="s">
        <v>209</v>
      </c>
      <c r="B50" s="9" t="s">
        <v>210</v>
      </c>
      <c r="C50" s="9" t="s">
        <v>70</v>
      </c>
      <c r="D50" s="9" t="s">
        <v>71</v>
      </c>
      <c r="E50" s="9" t="s">
        <v>40</v>
      </c>
      <c r="F50" s="9" t="s">
        <v>41</v>
      </c>
      <c r="G50" s="9" t="s">
        <v>211</v>
      </c>
      <c r="H50" s="9" t="s">
        <v>43</v>
      </c>
      <c r="I50" s="9" t="n">
        <v>2</v>
      </c>
      <c r="J50" s="9"/>
      <c r="K50" s="9" t="n">
        <v>0</v>
      </c>
      <c r="L50" s="9" t="n">
        <v>58.56</v>
      </c>
    </row>
    <row r="51" customFormat="false" ht="15" hidden="false" customHeight="true" outlineLevel="0" collapsed="false">
      <c r="A51" s="9" t="s">
        <v>212</v>
      </c>
      <c r="B51" s="9" t="s">
        <v>213</v>
      </c>
      <c r="C51" s="9" t="s">
        <v>128</v>
      </c>
      <c r="D51" s="9" t="s">
        <v>48</v>
      </c>
      <c r="E51" s="9" t="s">
        <v>65</v>
      </c>
      <c r="F51" s="9" t="s">
        <v>80</v>
      </c>
      <c r="G51" s="9" t="s">
        <v>81</v>
      </c>
      <c r="H51" s="9" t="s">
        <v>52</v>
      </c>
      <c r="I51" s="9" t="n">
        <v>6</v>
      </c>
      <c r="J51" s="9" t="n">
        <v>450.12</v>
      </c>
      <c r="K51" s="9" t="n">
        <v>0</v>
      </c>
      <c r="L51" s="9" t="n">
        <v>111.75</v>
      </c>
    </row>
    <row r="52" customFormat="false" ht="15" hidden="false" customHeight="true" outlineLevel="0" collapsed="false">
      <c r="A52" s="9" t="s">
        <v>214</v>
      </c>
      <c r="B52" s="9" t="s">
        <v>215</v>
      </c>
      <c r="C52" s="9" t="s">
        <v>142</v>
      </c>
      <c r="D52" s="9" t="s">
        <v>64</v>
      </c>
      <c r="E52" s="9" t="s">
        <v>65</v>
      </c>
      <c r="F52" s="9" t="s">
        <v>80</v>
      </c>
      <c r="G52" s="9" t="s">
        <v>216</v>
      </c>
      <c r="H52" s="9" t="s">
        <v>43</v>
      </c>
      <c r="I52" s="9" t="n">
        <v>7</v>
      </c>
      <c r="J52" s="9" t="n">
        <v>1104.11</v>
      </c>
      <c r="K52" s="9" t="n">
        <v>0.2</v>
      </c>
      <c r="L52" s="9" t="n">
        <v>226.37</v>
      </c>
    </row>
    <row r="53" customFormat="false" ht="15" hidden="false" customHeight="true" outlineLevel="0" collapsed="false">
      <c r="A53" s="9" t="s">
        <v>217</v>
      </c>
      <c r="B53" s="9" t="s">
        <v>218</v>
      </c>
      <c r="C53" s="9" t="s">
        <v>38</v>
      </c>
      <c r="D53" s="9" t="s">
        <v>48</v>
      </c>
      <c r="E53" s="9" t="s">
        <v>65</v>
      </c>
      <c r="F53" s="9" t="s">
        <v>80</v>
      </c>
      <c r="G53" s="9" t="s">
        <v>219</v>
      </c>
      <c r="H53" s="9" t="s">
        <v>43</v>
      </c>
      <c r="I53" s="9" t="n">
        <v>3</v>
      </c>
      <c r="J53" s="9" t="n">
        <v>816.51</v>
      </c>
      <c r="K53" s="9" t="n">
        <v>0.1</v>
      </c>
      <c r="L53" s="9" t="n">
        <v>139.13</v>
      </c>
    </row>
    <row r="54" customFormat="false" ht="15" hidden="false" customHeight="true" outlineLevel="0" collapsed="false">
      <c r="A54" s="9" t="s">
        <v>220</v>
      </c>
      <c r="B54" s="9" t="s">
        <v>221</v>
      </c>
      <c r="C54" s="9" t="s">
        <v>38</v>
      </c>
      <c r="D54" s="9" t="s">
        <v>39</v>
      </c>
      <c r="E54" s="9" t="s">
        <v>40</v>
      </c>
      <c r="F54" s="9" t="s">
        <v>59</v>
      </c>
      <c r="G54" s="9" t="s">
        <v>222</v>
      </c>
      <c r="H54" s="9" t="s">
        <v>52</v>
      </c>
      <c r="I54" s="9" t="n">
        <v>3</v>
      </c>
      <c r="J54" s="9" t="n">
        <v>758.25</v>
      </c>
      <c r="K54" s="9" t="n">
        <v>0.1</v>
      </c>
      <c r="L54" s="9" t="n">
        <v>77.88</v>
      </c>
    </row>
    <row r="55" customFormat="false" ht="15" hidden="false" customHeight="true" outlineLevel="0" collapsed="false">
      <c r="A55" s="9" t="s">
        <v>223</v>
      </c>
      <c r="B55" s="9" t="s">
        <v>224</v>
      </c>
      <c r="C55" s="9" t="s">
        <v>47</v>
      </c>
      <c r="D55" s="9" t="s">
        <v>71</v>
      </c>
      <c r="E55" s="9" t="s">
        <v>49</v>
      </c>
      <c r="F55" s="9" t="s">
        <v>225</v>
      </c>
      <c r="G55" s="9" t="s">
        <v>226</v>
      </c>
      <c r="H55" s="9" t="s">
        <v>82</v>
      </c>
      <c r="I55" s="9" t="n">
        <v>5</v>
      </c>
      <c r="J55" s="9" t="n">
        <v>228.25</v>
      </c>
      <c r="K55" s="9" t="n">
        <v>0.2</v>
      </c>
      <c r="L55" s="9" t="n">
        <v>32.19</v>
      </c>
    </row>
    <row r="56" customFormat="false" ht="15" hidden="false" customHeight="true" outlineLevel="0" collapsed="false">
      <c r="A56" s="9" t="s">
        <v>227</v>
      </c>
      <c r="B56" s="9" t="s">
        <v>228</v>
      </c>
      <c r="C56" s="9" t="s">
        <v>102</v>
      </c>
      <c r="D56" s="9" t="s">
        <v>48</v>
      </c>
      <c r="E56" s="9" t="s">
        <v>40</v>
      </c>
      <c r="F56" s="9" t="s">
        <v>173</v>
      </c>
      <c r="G56" s="9" t="s">
        <v>229</v>
      </c>
      <c r="H56" s="9" t="s">
        <v>43</v>
      </c>
      <c r="I56" s="9" t="n">
        <v>6</v>
      </c>
      <c r="J56" s="9" t="n">
        <v>2994.24</v>
      </c>
      <c r="K56" s="9" t="n">
        <v>0.1</v>
      </c>
      <c r="L56" s="9" t="n">
        <v>471.05</v>
      </c>
    </row>
    <row r="57" customFormat="false" ht="15" hidden="false" customHeight="true" outlineLevel="0" collapsed="false">
      <c r="A57" s="9" t="s">
        <v>230</v>
      </c>
      <c r="B57" s="9" t="s">
        <v>135</v>
      </c>
      <c r="C57" s="9" t="s">
        <v>98</v>
      </c>
      <c r="D57" s="9" t="s">
        <v>48</v>
      </c>
      <c r="E57" s="9" t="s">
        <v>40</v>
      </c>
      <c r="F57" s="9" t="s">
        <v>41</v>
      </c>
      <c r="G57" s="9" t="s">
        <v>231</v>
      </c>
      <c r="H57" s="9" t="s">
        <v>82</v>
      </c>
      <c r="I57" s="9" t="n">
        <v>3</v>
      </c>
      <c r="J57" s="9" t="n">
        <v>1751.52</v>
      </c>
      <c r="K57" s="9" t="n">
        <v>0.2</v>
      </c>
      <c r="L57" s="9" t="n">
        <v>101.24</v>
      </c>
    </row>
    <row r="58" customFormat="false" ht="15" hidden="false" customHeight="true" outlineLevel="0" collapsed="false">
      <c r="A58" s="9" t="s">
        <v>232</v>
      </c>
      <c r="B58" s="9" t="s">
        <v>233</v>
      </c>
      <c r="C58" s="9" t="s">
        <v>88</v>
      </c>
      <c r="D58" s="9" t="s">
        <v>48</v>
      </c>
      <c r="E58" s="9" t="s">
        <v>40</v>
      </c>
      <c r="F58" s="9" t="s">
        <v>59</v>
      </c>
      <c r="G58" s="9" t="s">
        <v>234</v>
      </c>
      <c r="H58" s="9" t="s">
        <v>43</v>
      </c>
      <c r="I58" s="9" t="n">
        <v>10</v>
      </c>
      <c r="J58" s="9" t="n">
        <v>788</v>
      </c>
      <c r="K58" s="9" t="n">
        <v>0.15</v>
      </c>
      <c r="L58" s="9" t="n">
        <v>78.01</v>
      </c>
    </row>
    <row r="59" customFormat="false" ht="15" hidden="false" customHeight="true" outlineLevel="0" collapsed="false">
      <c r="A59" s="9" t="s">
        <v>235</v>
      </c>
      <c r="B59" s="9" t="s">
        <v>236</v>
      </c>
      <c r="C59" s="9" t="s">
        <v>128</v>
      </c>
      <c r="D59" s="9" t="s">
        <v>39</v>
      </c>
      <c r="E59" s="9" t="s">
        <v>49</v>
      </c>
      <c r="F59" s="9" t="s">
        <v>50</v>
      </c>
      <c r="G59" s="9" t="s">
        <v>237</v>
      </c>
      <c r="H59" s="9" t="s">
        <v>43</v>
      </c>
      <c r="I59" s="9" t="n">
        <v>4</v>
      </c>
      <c r="J59" s="9" t="n">
        <v>1715.84</v>
      </c>
      <c r="K59" s="9" t="n">
        <v>0.1</v>
      </c>
      <c r="L59" s="9" t="n">
        <v>320</v>
      </c>
    </row>
    <row r="60" customFormat="false" ht="15" hidden="false" customHeight="true" outlineLevel="0" collapsed="false">
      <c r="A60" s="9" t="s">
        <v>238</v>
      </c>
      <c r="B60" s="9" t="s">
        <v>239</v>
      </c>
      <c r="C60" s="9" t="s">
        <v>38</v>
      </c>
      <c r="D60" s="9" t="s">
        <v>64</v>
      </c>
      <c r="E60" s="9" t="s">
        <v>49</v>
      </c>
      <c r="F60" s="9" t="s">
        <v>225</v>
      </c>
      <c r="G60" s="9" t="s">
        <v>240</v>
      </c>
      <c r="H60" s="9" t="s">
        <v>82</v>
      </c>
      <c r="I60" s="9" t="n">
        <v>7</v>
      </c>
      <c r="J60" s="9" t="n">
        <v>1496.81</v>
      </c>
      <c r="K60" s="9" t="n">
        <v>0.3</v>
      </c>
      <c r="L60" s="9" t="n">
        <v>211.99</v>
      </c>
    </row>
    <row r="61" customFormat="false" ht="15" hidden="false" customHeight="true" outlineLevel="0" collapsed="false">
      <c r="A61" s="9" t="s">
        <v>241</v>
      </c>
      <c r="B61" s="9" t="s">
        <v>242</v>
      </c>
      <c r="C61" s="9" t="s">
        <v>102</v>
      </c>
      <c r="D61" s="9" t="s">
        <v>48</v>
      </c>
      <c r="E61" s="9" t="s">
        <v>65</v>
      </c>
      <c r="F61" s="9" t="s">
        <v>76</v>
      </c>
      <c r="G61" s="9" t="s">
        <v>243</v>
      </c>
      <c r="H61" s="9" t="s">
        <v>52</v>
      </c>
      <c r="I61" s="9" t="n">
        <v>10</v>
      </c>
      <c r="J61" s="9" t="n">
        <v>987.2</v>
      </c>
      <c r="K61" s="9" t="n">
        <v>0.1</v>
      </c>
      <c r="L61" s="9" t="n">
        <v>214.45</v>
      </c>
    </row>
    <row r="62" customFormat="false" ht="15" hidden="false" customHeight="true" outlineLevel="0" collapsed="false">
      <c r="A62" s="9" t="s">
        <v>244</v>
      </c>
      <c r="B62" s="9" t="s">
        <v>245</v>
      </c>
      <c r="C62" s="9" t="s">
        <v>38</v>
      </c>
      <c r="D62" s="9" t="s">
        <v>48</v>
      </c>
      <c r="E62" s="9" t="s">
        <v>65</v>
      </c>
      <c r="F62" s="9" t="s">
        <v>76</v>
      </c>
      <c r="G62" s="9" t="s">
        <v>246</v>
      </c>
      <c r="H62" s="9" t="s">
        <v>52</v>
      </c>
      <c r="I62" s="9" t="n">
        <v>12</v>
      </c>
      <c r="J62" s="9" t="n">
        <v>4624.92</v>
      </c>
      <c r="K62" s="9" t="n">
        <v>0</v>
      </c>
      <c r="L62" s="9" t="n">
        <v>358.56</v>
      </c>
    </row>
    <row r="63" customFormat="false" ht="15" hidden="false" customHeight="true" outlineLevel="0" collapsed="false">
      <c r="A63" s="9" t="s">
        <v>247</v>
      </c>
      <c r="B63" s="9" t="s">
        <v>248</v>
      </c>
      <c r="C63" s="9" t="s">
        <v>58</v>
      </c>
      <c r="D63" s="9" t="s">
        <v>48</v>
      </c>
      <c r="E63" s="9" t="s">
        <v>40</v>
      </c>
      <c r="F63" s="9" t="s">
        <v>173</v>
      </c>
      <c r="G63" s="9" t="s">
        <v>249</v>
      </c>
      <c r="H63" s="9" t="s">
        <v>82</v>
      </c>
      <c r="I63" s="9" t="n">
        <v>2</v>
      </c>
      <c r="J63" s="9" t="n">
        <v>52.24</v>
      </c>
      <c r="K63" s="9" t="n">
        <v>0</v>
      </c>
      <c r="L63" s="9" t="n">
        <v>15.7</v>
      </c>
    </row>
    <row r="64" customFormat="false" ht="15" hidden="false" customHeight="true" outlineLevel="0" collapsed="false">
      <c r="A64" s="9" t="s">
        <v>250</v>
      </c>
      <c r="B64" s="9" t="s">
        <v>251</v>
      </c>
      <c r="C64" s="9" t="s">
        <v>47</v>
      </c>
      <c r="D64" s="9" t="s">
        <v>71</v>
      </c>
      <c r="E64" s="9" t="s">
        <v>40</v>
      </c>
      <c r="F64" s="9" t="s">
        <v>59</v>
      </c>
      <c r="G64" s="9" t="s">
        <v>252</v>
      </c>
      <c r="H64" s="9" t="s">
        <v>82</v>
      </c>
      <c r="I64" s="9" t="n">
        <v>5</v>
      </c>
      <c r="J64" s="9" t="n">
        <v>2130.4</v>
      </c>
      <c r="K64" s="9" t="n">
        <v>0</v>
      </c>
      <c r="L64" s="9" t="n">
        <v>695.49</v>
      </c>
    </row>
    <row r="65" customFormat="false" ht="15" hidden="false" customHeight="true" outlineLevel="0" collapsed="false">
      <c r="A65" s="9" t="s">
        <v>253</v>
      </c>
      <c r="B65" s="9" t="s">
        <v>254</v>
      </c>
      <c r="C65" s="9" t="s">
        <v>172</v>
      </c>
      <c r="D65" s="9" t="s">
        <v>39</v>
      </c>
      <c r="E65" s="9" t="s">
        <v>49</v>
      </c>
      <c r="F65" s="9" t="s">
        <v>50</v>
      </c>
      <c r="G65" s="9" t="s">
        <v>255</v>
      </c>
      <c r="H65" s="9" t="s">
        <v>82</v>
      </c>
      <c r="I65" s="9" t="n">
        <v>12</v>
      </c>
      <c r="J65" s="9" t="n">
        <v>2561.88</v>
      </c>
      <c r="K65" s="9" t="n">
        <v>0.3</v>
      </c>
      <c r="L65" s="9" t="n">
        <v>148.45</v>
      </c>
    </row>
    <row r="66" customFormat="false" ht="15" hidden="false" customHeight="true" outlineLevel="0" collapsed="false">
      <c r="A66" s="9" t="s">
        <v>256</v>
      </c>
      <c r="B66" s="9" t="s">
        <v>257</v>
      </c>
      <c r="C66" s="9" t="s">
        <v>128</v>
      </c>
      <c r="D66" s="9" t="s">
        <v>48</v>
      </c>
      <c r="E66" s="9" t="s">
        <v>49</v>
      </c>
      <c r="F66" s="9" t="s">
        <v>258</v>
      </c>
      <c r="G66" s="9" t="s">
        <v>259</v>
      </c>
      <c r="H66" s="9" t="s">
        <v>82</v>
      </c>
      <c r="I66" s="9" t="n">
        <v>6</v>
      </c>
      <c r="J66" s="9" t="n">
        <v>1659.42</v>
      </c>
      <c r="K66" s="9" t="n">
        <v>0.2</v>
      </c>
      <c r="L66" s="9" t="n">
        <v>412.88</v>
      </c>
    </row>
    <row r="67" customFormat="false" ht="15" hidden="false" customHeight="true" outlineLevel="0" collapsed="false">
      <c r="A67" s="9" t="s">
        <v>260</v>
      </c>
      <c r="B67" s="9" t="s">
        <v>261</v>
      </c>
      <c r="C67" s="9" t="s">
        <v>165</v>
      </c>
      <c r="D67" s="9" t="s">
        <v>64</v>
      </c>
      <c r="E67" s="9" t="s">
        <v>40</v>
      </c>
      <c r="F67" s="9" t="s">
        <v>143</v>
      </c>
      <c r="G67" s="9" t="s">
        <v>262</v>
      </c>
      <c r="H67" s="9" t="s">
        <v>52</v>
      </c>
      <c r="I67" s="9" t="n">
        <v>6</v>
      </c>
      <c r="J67" s="9" t="n">
        <v>719.82</v>
      </c>
      <c r="K67" s="9" t="n">
        <v>0</v>
      </c>
      <c r="L67" s="9" t="n">
        <v>188.88</v>
      </c>
    </row>
    <row r="68" customFormat="false" ht="15" hidden="false" customHeight="true" outlineLevel="0" collapsed="false">
      <c r="A68" s="9" t="s">
        <v>263</v>
      </c>
      <c r="B68" s="9" t="s">
        <v>264</v>
      </c>
      <c r="C68" s="9" t="s">
        <v>102</v>
      </c>
      <c r="D68" s="9" t="s">
        <v>64</v>
      </c>
      <c r="E68" s="9" t="s">
        <v>65</v>
      </c>
      <c r="F68" s="9" t="s">
        <v>66</v>
      </c>
      <c r="G68" s="9" t="s">
        <v>265</v>
      </c>
      <c r="H68" s="9" t="s">
        <v>52</v>
      </c>
      <c r="I68" s="9" t="n">
        <v>2</v>
      </c>
      <c r="J68" s="9" t="n">
        <v>858.18</v>
      </c>
      <c r="K68" s="9" t="n">
        <v>0</v>
      </c>
      <c r="L68" s="9" t="n">
        <v>101.85</v>
      </c>
    </row>
    <row r="69" customFormat="false" ht="15" hidden="false" customHeight="true" outlineLevel="0" collapsed="false">
      <c r="A69" s="9" t="s">
        <v>266</v>
      </c>
      <c r="B69" s="9" t="s">
        <v>267</v>
      </c>
      <c r="C69" s="9" t="s">
        <v>172</v>
      </c>
      <c r="D69" s="9" t="s">
        <v>71</v>
      </c>
      <c r="E69" s="9" t="s">
        <v>40</v>
      </c>
      <c r="F69" s="9" t="s">
        <v>173</v>
      </c>
      <c r="G69" s="9" t="s">
        <v>268</v>
      </c>
      <c r="H69" s="9" t="s">
        <v>82</v>
      </c>
      <c r="I69" s="9" t="n">
        <v>1</v>
      </c>
      <c r="J69" s="9" t="n">
        <v>485.95</v>
      </c>
      <c r="K69" s="9" t="n">
        <v>0.1</v>
      </c>
      <c r="L69" s="9" t="n">
        <v>57</v>
      </c>
    </row>
    <row r="70" customFormat="false" ht="15" hidden="false" customHeight="true" outlineLevel="0" collapsed="false">
      <c r="A70" s="9" t="s">
        <v>269</v>
      </c>
      <c r="B70" s="9" t="s">
        <v>270</v>
      </c>
      <c r="C70" s="9" t="s">
        <v>98</v>
      </c>
      <c r="D70" s="9" t="s">
        <v>48</v>
      </c>
      <c r="E70" s="9" t="s">
        <v>49</v>
      </c>
      <c r="F70" s="9" t="s">
        <v>258</v>
      </c>
      <c r="G70" s="9" t="s">
        <v>271</v>
      </c>
      <c r="H70" s="9" t="s">
        <v>43</v>
      </c>
      <c r="I70" s="9" t="n">
        <v>2</v>
      </c>
      <c r="J70" s="9" t="n">
        <v>503.88</v>
      </c>
      <c r="K70" s="9" t="n">
        <v>0</v>
      </c>
      <c r="L70" s="9" t="n">
        <v>51.18</v>
      </c>
    </row>
    <row r="71" customFormat="false" ht="15" hidden="false" customHeight="true" outlineLevel="0" collapsed="false">
      <c r="A71" s="9" t="s">
        <v>272</v>
      </c>
      <c r="B71" s="9" t="s">
        <v>273</v>
      </c>
      <c r="C71" s="9"/>
      <c r="D71" s="9" t="s">
        <v>71</v>
      </c>
      <c r="E71" s="9" t="s">
        <v>49</v>
      </c>
      <c r="F71" s="9" t="s">
        <v>207</v>
      </c>
      <c r="G71" s="9" t="s">
        <v>274</v>
      </c>
      <c r="H71" s="9" t="s">
        <v>43</v>
      </c>
      <c r="I71" s="9"/>
      <c r="J71" s="9" t="n">
        <v>6104.45</v>
      </c>
      <c r="K71" s="9" t="n">
        <v>0</v>
      </c>
      <c r="L71" s="9" t="n">
        <v>472.29</v>
      </c>
    </row>
    <row r="72" customFormat="false" ht="15" hidden="false" customHeight="true" outlineLevel="0" collapsed="false">
      <c r="A72" s="9" t="s">
        <v>275</v>
      </c>
      <c r="B72" s="9" t="s">
        <v>276</v>
      </c>
      <c r="C72" s="9" t="s">
        <v>113</v>
      </c>
      <c r="D72" s="9" t="s">
        <v>71</v>
      </c>
      <c r="E72" s="9" t="s">
        <v>49</v>
      </c>
      <c r="F72" s="9" t="s">
        <v>50</v>
      </c>
      <c r="G72" s="9" t="s">
        <v>277</v>
      </c>
      <c r="H72" s="9" t="s">
        <v>52</v>
      </c>
      <c r="I72" s="9" t="n">
        <v>2</v>
      </c>
      <c r="J72" s="9" t="n">
        <v>1051.08</v>
      </c>
      <c r="K72" s="9" t="n">
        <v>0.15</v>
      </c>
      <c r="L72" s="9" t="n">
        <v>120.88</v>
      </c>
    </row>
    <row r="73" customFormat="false" ht="15" hidden="false" customHeight="true" outlineLevel="0" collapsed="false">
      <c r="A73" s="9" t="s">
        <v>278</v>
      </c>
      <c r="B73" s="9" t="s">
        <v>279</v>
      </c>
      <c r="C73" s="9" t="s">
        <v>102</v>
      </c>
      <c r="D73" s="9" t="s">
        <v>39</v>
      </c>
      <c r="E73" s="9" t="s">
        <v>40</v>
      </c>
      <c r="F73" s="9" t="s">
        <v>173</v>
      </c>
      <c r="G73" s="9" t="s">
        <v>280</v>
      </c>
      <c r="H73" s="9" t="s">
        <v>43</v>
      </c>
      <c r="I73" s="9" t="n">
        <v>10</v>
      </c>
      <c r="J73" s="9" t="n">
        <v>629.6</v>
      </c>
      <c r="K73" s="9" t="n">
        <v>0.2</v>
      </c>
      <c r="L73" s="9" t="n">
        <v>113.38</v>
      </c>
    </row>
    <row r="74" customFormat="false" ht="15" hidden="false" customHeight="true" outlineLevel="0" collapsed="false">
      <c r="A74" s="9" t="s">
        <v>281</v>
      </c>
      <c r="B74" s="9" t="s">
        <v>282</v>
      </c>
      <c r="C74" s="9" t="s">
        <v>142</v>
      </c>
      <c r="D74" s="9" t="s">
        <v>39</v>
      </c>
      <c r="E74" s="9" t="s">
        <v>49</v>
      </c>
      <c r="F74" s="9" t="s">
        <v>258</v>
      </c>
      <c r="G74" s="9" t="s">
        <v>283</v>
      </c>
      <c r="H74" s="9" t="s">
        <v>82</v>
      </c>
      <c r="I74" s="9" t="n">
        <v>1</v>
      </c>
      <c r="J74" s="9" t="n">
        <v>566.5</v>
      </c>
      <c r="K74" s="9" t="n">
        <v>0</v>
      </c>
      <c r="L74" s="9" t="n">
        <v>156.38</v>
      </c>
    </row>
    <row r="75" customFormat="false" ht="15" hidden="false" customHeight="true" outlineLevel="0" collapsed="false">
      <c r="A75" s="9" t="s">
        <v>284</v>
      </c>
      <c r="B75" s="9" t="s">
        <v>285</v>
      </c>
      <c r="C75" s="9" t="s">
        <v>98</v>
      </c>
      <c r="D75" s="9" t="s">
        <v>48</v>
      </c>
      <c r="E75" s="9" t="s">
        <v>40</v>
      </c>
      <c r="F75" s="9" t="s">
        <v>41</v>
      </c>
      <c r="G75" s="9" t="s">
        <v>286</v>
      </c>
      <c r="H75" s="9" t="s">
        <v>52</v>
      </c>
      <c r="I75" s="9" t="n">
        <v>2</v>
      </c>
      <c r="J75" s="9" t="n">
        <v>143.4</v>
      </c>
      <c r="K75" s="9" t="n">
        <v>0.1</v>
      </c>
      <c r="L75" s="9" t="n">
        <v>20.17</v>
      </c>
    </row>
    <row r="76" customFormat="false" ht="15" hidden="false" customHeight="true" outlineLevel="0" collapsed="false">
      <c r="A76" s="9" t="s">
        <v>287</v>
      </c>
      <c r="B76" s="9" t="s">
        <v>288</v>
      </c>
      <c r="C76" s="9" t="s">
        <v>113</v>
      </c>
      <c r="D76" s="9" t="s">
        <v>64</v>
      </c>
      <c r="E76" s="9" t="s">
        <v>40</v>
      </c>
      <c r="F76" s="9" t="s">
        <v>143</v>
      </c>
      <c r="G76" s="9" t="s">
        <v>289</v>
      </c>
      <c r="H76" s="9" t="s">
        <v>52</v>
      </c>
      <c r="I76" s="9" t="n">
        <v>9</v>
      </c>
      <c r="J76" s="9" t="n">
        <v>4929.93</v>
      </c>
      <c r="K76" s="9" t="n">
        <v>0</v>
      </c>
      <c r="L76" s="9" t="n">
        <v>1476.11</v>
      </c>
    </row>
    <row r="77" customFormat="false" ht="15" hidden="false" customHeight="true" outlineLevel="0" collapsed="false">
      <c r="A77" s="9" t="s">
        <v>290</v>
      </c>
      <c r="B77" s="9" t="s">
        <v>291</v>
      </c>
      <c r="C77" s="9" t="s">
        <v>47</v>
      </c>
      <c r="D77" s="9" t="s">
        <v>48</v>
      </c>
      <c r="E77" s="9" t="s">
        <v>65</v>
      </c>
      <c r="F77" s="9" t="s">
        <v>66</v>
      </c>
      <c r="G77" s="9" t="s">
        <v>292</v>
      </c>
      <c r="H77" s="9" t="s">
        <v>52</v>
      </c>
      <c r="I77" s="9" t="n">
        <v>9</v>
      </c>
      <c r="J77" s="9" t="n">
        <v>3751.29</v>
      </c>
      <c r="K77" s="9" t="n">
        <v>0.2</v>
      </c>
      <c r="L77" s="9" t="n">
        <v>813.61</v>
      </c>
    </row>
    <row r="78" customFormat="false" ht="15" hidden="false" customHeight="true" outlineLevel="0" collapsed="false">
      <c r="A78" s="9" t="s">
        <v>293</v>
      </c>
      <c r="B78" s="9" t="s">
        <v>294</v>
      </c>
      <c r="C78" s="9" t="s">
        <v>98</v>
      </c>
      <c r="D78" s="9" t="s">
        <v>71</v>
      </c>
      <c r="E78" s="9" t="s">
        <v>49</v>
      </c>
      <c r="F78" s="9" t="s">
        <v>129</v>
      </c>
      <c r="G78" s="9" t="s">
        <v>295</v>
      </c>
      <c r="H78" s="9" t="s">
        <v>43</v>
      </c>
      <c r="I78" s="9" t="n">
        <v>2</v>
      </c>
      <c r="J78" s="9" t="n">
        <v>580.26</v>
      </c>
      <c r="K78" s="9" t="n">
        <v>0.2</v>
      </c>
      <c r="L78" s="9" t="n">
        <v>98.33</v>
      </c>
    </row>
    <row r="79" customFormat="false" ht="15" hidden="false" customHeight="true" outlineLevel="0" collapsed="false">
      <c r="A79" s="9" t="s">
        <v>296</v>
      </c>
      <c r="B79" s="9" t="s">
        <v>297</v>
      </c>
      <c r="C79" s="9" t="s">
        <v>88</v>
      </c>
      <c r="D79" s="9" t="s">
        <v>64</v>
      </c>
      <c r="E79" s="9" t="s">
        <v>65</v>
      </c>
      <c r="F79" s="9" t="s">
        <v>80</v>
      </c>
      <c r="G79" s="9" t="s">
        <v>298</v>
      </c>
      <c r="H79" s="9" t="s">
        <v>43</v>
      </c>
      <c r="I79" s="9" t="n">
        <v>11</v>
      </c>
      <c r="J79" s="9" t="n">
        <v>2528.79</v>
      </c>
      <c r="K79" s="9" t="n">
        <v>0.2</v>
      </c>
      <c r="L79" s="9" t="n">
        <v>318.83</v>
      </c>
    </row>
    <row r="80" customFormat="false" ht="15" hidden="false" customHeight="true" outlineLevel="0" collapsed="false">
      <c r="A80" s="9" t="s">
        <v>299</v>
      </c>
      <c r="B80" s="9" t="s">
        <v>300</v>
      </c>
      <c r="C80" s="9" t="s">
        <v>47</v>
      </c>
      <c r="D80" s="9" t="s">
        <v>71</v>
      </c>
      <c r="E80" s="9" t="s">
        <v>65</v>
      </c>
      <c r="F80" s="9" t="s">
        <v>76</v>
      </c>
      <c r="G80" s="9" t="s">
        <v>301</v>
      </c>
      <c r="H80" s="9" t="s">
        <v>43</v>
      </c>
      <c r="I80" s="9" t="n">
        <v>1</v>
      </c>
      <c r="J80" s="9" t="n">
        <v>246.93</v>
      </c>
      <c r="K80" s="9" t="n">
        <v>0</v>
      </c>
      <c r="L80" s="9" t="n">
        <v>29.81</v>
      </c>
    </row>
    <row r="81" customFormat="false" ht="15" hidden="false" customHeight="true" outlineLevel="0" collapsed="false">
      <c r="A81" s="9" t="s">
        <v>302</v>
      </c>
      <c r="B81" s="9" t="s">
        <v>303</v>
      </c>
      <c r="C81" s="9" t="s">
        <v>88</v>
      </c>
      <c r="D81" s="9" t="s">
        <v>48</v>
      </c>
      <c r="E81" s="9" t="s">
        <v>40</v>
      </c>
      <c r="F81" s="9" t="s">
        <v>143</v>
      </c>
      <c r="G81" s="9" t="s">
        <v>304</v>
      </c>
      <c r="H81" s="9" t="s">
        <v>82</v>
      </c>
      <c r="I81" s="9" t="n">
        <v>11</v>
      </c>
      <c r="J81" s="9" t="n">
        <v>1669.69</v>
      </c>
      <c r="K81" s="9" t="n">
        <v>0</v>
      </c>
      <c r="L81" s="9" t="n">
        <v>393.82</v>
      </c>
    </row>
    <row r="82" customFormat="false" ht="15" hidden="false" customHeight="true" outlineLevel="0" collapsed="false">
      <c r="A82" s="9" t="s">
        <v>305</v>
      </c>
      <c r="B82" s="9" t="s">
        <v>306</v>
      </c>
      <c r="C82" s="9" t="s">
        <v>58</v>
      </c>
      <c r="D82" s="9" t="s">
        <v>39</v>
      </c>
      <c r="E82" s="9" t="s">
        <v>49</v>
      </c>
      <c r="F82" s="9" t="s">
        <v>50</v>
      </c>
      <c r="G82" s="9" t="s">
        <v>307</v>
      </c>
      <c r="H82" s="9" t="s">
        <v>43</v>
      </c>
      <c r="I82" s="9" t="n">
        <v>12</v>
      </c>
      <c r="J82" s="9" t="n">
        <v>1191.96</v>
      </c>
      <c r="K82" s="9" t="n">
        <v>0.3</v>
      </c>
      <c r="L82" s="9" t="n">
        <v>205.62</v>
      </c>
    </row>
    <row r="83" customFormat="false" ht="15" hidden="false" customHeight="true" outlineLevel="0" collapsed="false">
      <c r="A83" s="9" t="s">
        <v>308</v>
      </c>
      <c r="B83" s="9" t="s">
        <v>309</v>
      </c>
      <c r="C83" s="9" t="s">
        <v>165</v>
      </c>
      <c r="D83" s="9" t="s">
        <v>39</v>
      </c>
      <c r="E83" s="9" t="s">
        <v>40</v>
      </c>
      <c r="F83" s="9" t="s">
        <v>59</v>
      </c>
      <c r="G83" s="9" t="s">
        <v>310</v>
      </c>
      <c r="H83" s="9" t="s">
        <v>43</v>
      </c>
      <c r="I83" s="9" t="n">
        <v>10</v>
      </c>
      <c r="J83" s="9" t="n">
        <v>1274.9</v>
      </c>
      <c r="K83" s="9" t="n">
        <v>0</v>
      </c>
      <c r="L83" s="9" t="n">
        <v>81.27</v>
      </c>
    </row>
    <row r="84" customFormat="false" ht="15" hidden="false" customHeight="true" outlineLevel="0" collapsed="false">
      <c r="A84" s="9" t="s">
        <v>311</v>
      </c>
      <c r="B84" s="9" t="s">
        <v>312</v>
      </c>
      <c r="C84" s="9" t="s">
        <v>161</v>
      </c>
      <c r="D84" s="9" t="s">
        <v>48</v>
      </c>
      <c r="E84" s="9" t="s">
        <v>40</v>
      </c>
      <c r="F84" s="9" t="s">
        <v>143</v>
      </c>
      <c r="G84" s="9" t="s">
        <v>313</v>
      </c>
      <c r="H84" s="9" t="s">
        <v>82</v>
      </c>
      <c r="I84" s="9" t="n">
        <v>2</v>
      </c>
      <c r="J84" s="9" t="n">
        <v>772.12</v>
      </c>
      <c r="K84" s="9" t="n">
        <v>0.3</v>
      </c>
      <c r="L84" s="9" t="n">
        <v>71.89</v>
      </c>
    </row>
    <row r="85" customFormat="false" ht="15" hidden="false" customHeight="true" outlineLevel="0" collapsed="false">
      <c r="A85" s="9" t="s">
        <v>314</v>
      </c>
      <c r="B85" s="9" t="s">
        <v>315</v>
      </c>
      <c r="C85" s="9" t="s">
        <v>128</v>
      </c>
      <c r="D85" s="9" t="s">
        <v>48</v>
      </c>
      <c r="E85" s="9" t="s">
        <v>40</v>
      </c>
      <c r="F85" s="9" t="s">
        <v>41</v>
      </c>
      <c r="G85" s="9" t="s">
        <v>316</v>
      </c>
      <c r="H85" s="9" t="s">
        <v>82</v>
      </c>
      <c r="I85" s="9" t="n">
        <v>2</v>
      </c>
      <c r="J85" s="9" t="n">
        <v>867.78</v>
      </c>
      <c r="K85" s="9" t="n">
        <v>0.1</v>
      </c>
      <c r="L85" s="9" t="n">
        <v>47.72</v>
      </c>
    </row>
    <row r="86" customFormat="false" ht="15" hidden="false" customHeight="true" outlineLevel="0" collapsed="false">
      <c r="A86" s="9" t="s">
        <v>317</v>
      </c>
      <c r="B86" s="9" t="s">
        <v>318</v>
      </c>
      <c r="C86" s="9"/>
      <c r="D86" s="9" t="s">
        <v>71</v>
      </c>
      <c r="E86" s="9" t="s">
        <v>49</v>
      </c>
      <c r="F86" s="9" t="s">
        <v>258</v>
      </c>
      <c r="G86" s="9" t="s">
        <v>319</v>
      </c>
      <c r="H86" s="9" t="s">
        <v>82</v>
      </c>
      <c r="I86" s="9" t="n">
        <v>7</v>
      </c>
      <c r="J86" s="9" t="n">
        <v>3506.16</v>
      </c>
      <c r="K86" s="9" t="n">
        <v>0.15</v>
      </c>
      <c r="L86" s="9" t="n">
        <v>547.69</v>
      </c>
    </row>
    <row r="87" customFormat="false" ht="15" hidden="false" customHeight="true" outlineLevel="0" collapsed="false">
      <c r="A87" s="9" t="s">
        <v>320</v>
      </c>
      <c r="B87" s="9" t="s">
        <v>321</v>
      </c>
      <c r="C87" s="9" t="s">
        <v>47</v>
      </c>
      <c r="D87" s="9" t="s">
        <v>64</v>
      </c>
      <c r="E87" s="9" t="s">
        <v>49</v>
      </c>
      <c r="F87" s="9" t="s">
        <v>50</v>
      </c>
      <c r="G87" s="9" t="s">
        <v>322</v>
      </c>
      <c r="H87" s="9" t="s">
        <v>52</v>
      </c>
      <c r="I87" s="9" t="n">
        <v>10</v>
      </c>
      <c r="J87" s="9" t="n">
        <v>385.4</v>
      </c>
      <c r="K87" s="9" t="n">
        <v>0.3</v>
      </c>
      <c r="L87" s="9" t="n">
        <v>27.67</v>
      </c>
    </row>
    <row r="88" customFormat="false" ht="15" hidden="false" customHeight="true" outlineLevel="0" collapsed="false">
      <c r="A88" s="9" t="s">
        <v>323</v>
      </c>
      <c r="B88" s="9" t="s">
        <v>324</v>
      </c>
      <c r="C88" s="9" t="s">
        <v>63</v>
      </c>
      <c r="D88" s="9" t="s">
        <v>39</v>
      </c>
      <c r="E88" s="9" t="s">
        <v>49</v>
      </c>
      <c r="F88" s="9" t="s">
        <v>225</v>
      </c>
      <c r="G88" s="9" t="s">
        <v>325</v>
      </c>
      <c r="H88" s="9" t="s">
        <v>82</v>
      </c>
      <c r="I88" s="9" t="n">
        <v>1</v>
      </c>
      <c r="J88" s="9" t="n">
        <v>221.09</v>
      </c>
      <c r="K88" s="9" t="n">
        <v>0</v>
      </c>
      <c r="L88" s="9" t="n">
        <v>65.01</v>
      </c>
    </row>
    <row r="89" customFormat="false" ht="15" hidden="false" customHeight="true" outlineLevel="0" collapsed="false">
      <c r="A89" s="9" t="s">
        <v>45</v>
      </c>
      <c r="B89" s="9" t="s">
        <v>46</v>
      </c>
      <c r="C89" s="9" t="s">
        <v>47</v>
      </c>
      <c r="D89" s="9" t="s">
        <v>48</v>
      </c>
      <c r="E89" s="9" t="s">
        <v>49</v>
      </c>
      <c r="F89" s="9" t="s">
        <v>50</v>
      </c>
      <c r="G89" s="9" t="s">
        <v>51</v>
      </c>
      <c r="H89" s="9" t="s">
        <v>52</v>
      </c>
      <c r="I89" s="9" t="n">
        <v>10</v>
      </c>
      <c r="J89" s="9" t="n">
        <v>1565.3</v>
      </c>
      <c r="K89" s="9" t="n">
        <v>0</v>
      </c>
      <c r="L89" s="9" t="n">
        <v>215.04</v>
      </c>
    </row>
    <row r="90" customFormat="false" ht="15" hidden="false" customHeight="true" outlineLevel="0" collapsed="false">
      <c r="A90" s="9" t="s">
        <v>326</v>
      </c>
      <c r="B90" s="9" t="s">
        <v>327</v>
      </c>
      <c r="C90" s="9" t="s">
        <v>128</v>
      </c>
      <c r="D90" s="9" t="s">
        <v>48</v>
      </c>
      <c r="E90" s="9" t="s">
        <v>65</v>
      </c>
      <c r="F90" s="9" t="s">
        <v>80</v>
      </c>
      <c r="G90" s="9" t="s">
        <v>328</v>
      </c>
      <c r="H90" s="9" t="s">
        <v>52</v>
      </c>
      <c r="I90" s="9" t="n">
        <v>8</v>
      </c>
      <c r="J90" s="9" t="n">
        <v>1289.12</v>
      </c>
      <c r="K90" s="9" t="n">
        <v>0</v>
      </c>
      <c r="L90" s="9" t="n">
        <v>235.83</v>
      </c>
    </row>
    <row r="91" customFormat="false" ht="15" hidden="false" customHeight="true" outlineLevel="0" collapsed="false">
      <c r="A91" s="9" t="s">
        <v>329</v>
      </c>
      <c r="B91" s="9" t="s">
        <v>146</v>
      </c>
      <c r="C91" s="9" t="s">
        <v>102</v>
      </c>
      <c r="D91" s="9" t="s">
        <v>71</v>
      </c>
      <c r="E91" s="9" t="s">
        <v>49</v>
      </c>
      <c r="F91" s="9" t="s">
        <v>129</v>
      </c>
      <c r="G91" s="9" t="s">
        <v>330</v>
      </c>
      <c r="H91" s="9" t="s">
        <v>52</v>
      </c>
      <c r="I91" s="9" t="n">
        <v>7</v>
      </c>
      <c r="J91" s="9" t="n">
        <v>640.92</v>
      </c>
      <c r="K91" s="9" t="n">
        <v>0.2</v>
      </c>
      <c r="L91" s="9" t="n">
        <v>71.78</v>
      </c>
    </row>
    <row r="92" customFormat="false" ht="15" hidden="false" customHeight="true" outlineLevel="0" collapsed="false">
      <c r="A92" s="9" t="s">
        <v>331</v>
      </c>
      <c r="B92" s="9" t="s">
        <v>332</v>
      </c>
      <c r="C92" s="9" t="s">
        <v>165</v>
      </c>
      <c r="D92" s="9" t="s">
        <v>39</v>
      </c>
      <c r="E92" s="9" t="s">
        <v>49</v>
      </c>
      <c r="F92" s="9" t="s">
        <v>258</v>
      </c>
      <c r="G92" s="9" t="s">
        <v>333</v>
      </c>
      <c r="H92" s="9" t="s">
        <v>52</v>
      </c>
      <c r="I92" s="9" t="n">
        <v>3</v>
      </c>
      <c r="J92" s="9" t="n">
        <v>523.74</v>
      </c>
      <c r="K92" s="9" t="n">
        <v>0.15</v>
      </c>
      <c r="L92" s="9" t="n">
        <v>41.94</v>
      </c>
    </row>
    <row r="93" customFormat="false" ht="15" hidden="false" customHeight="true" outlineLevel="0" collapsed="false">
      <c r="A93" s="9" t="s">
        <v>334</v>
      </c>
      <c r="B93" s="9" t="s">
        <v>335</v>
      </c>
      <c r="C93" s="9" t="s">
        <v>128</v>
      </c>
      <c r="D93" s="9" t="s">
        <v>39</v>
      </c>
      <c r="E93" s="9" t="s">
        <v>65</v>
      </c>
      <c r="F93" s="9" t="s">
        <v>66</v>
      </c>
      <c r="G93" s="9" t="s">
        <v>336</v>
      </c>
      <c r="H93" s="9" t="s">
        <v>82</v>
      </c>
      <c r="I93" s="9" t="n">
        <v>12</v>
      </c>
      <c r="J93" s="9" t="n">
        <v>1898.52</v>
      </c>
      <c r="K93" s="9" t="n">
        <v>0.1</v>
      </c>
      <c r="L93" s="9" t="n">
        <v>279.94</v>
      </c>
    </row>
    <row r="94" customFormat="false" ht="15" hidden="false" customHeight="true" outlineLevel="0" collapsed="false">
      <c r="A94" s="9" t="s">
        <v>337</v>
      </c>
      <c r="B94" s="9" t="s">
        <v>338</v>
      </c>
      <c r="C94" s="9" t="s">
        <v>165</v>
      </c>
      <c r="D94" s="9" t="s">
        <v>48</v>
      </c>
      <c r="E94" s="9" t="s">
        <v>49</v>
      </c>
      <c r="F94" s="9" t="s">
        <v>129</v>
      </c>
      <c r="G94" s="9" t="s">
        <v>339</v>
      </c>
      <c r="H94" s="9" t="s">
        <v>52</v>
      </c>
      <c r="I94" s="9" t="n">
        <v>1</v>
      </c>
      <c r="J94" s="9" t="n">
        <v>405.7</v>
      </c>
      <c r="K94" s="9" t="n">
        <v>0.15</v>
      </c>
      <c r="L94" s="9" t="n">
        <v>48.21</v>
      </c>
    </row>
    <row r="95" customFormat="false" ht="15" hidden="false" customHeight="true" outlineLevel="0" collapsed="false">
      <c r="A95" s="9" t="s">
        <v>340</v>
      </c>
      <c r="B95" s="9" t="s">
        <v>46</v>
      </c>
      <c r="C95" s="9" t="s">
        <v>165</v>
      </c>
      <c r="D95" s="9" t="s">
        <v>71</v>
      </c>
      <c r="E95" s="9" t="s">
        <v>65</v>
      </c>
      <c r="F95" s="9" t="s">
        <v>76</v>
      </c>
      <c r="G95" s="9" t="s">
        <v>77</v>
      </c>
      <c r="H95" s="9" t="s">
        <v>52</v>
      </c>
      <c r="I95" s="9" t="n">
        <v>7</v>
      </c>
      <c r="J95" s="9" t="n">
        <v>4155.48</v>
      </c>
      <c r="K95" s="9" t="n">
        <v>0.15</v>
      </c>
      <c r="L95" s="9" t="n">
        <v>678.24</v>
      </c>
    </row>
    <row r="96" customFormat="false" ht="15" hidden="false" customHeight="true" outlineLevel="0" collapsed="false">
      <c r="A96" s="9" t="s">
        <v>341</v>
      </c>
      <c r="B96" s="9" t="s">
        <v>342</v>
      </c>
      <c r="C96" s="9" t="s">
        <v>38</v>
      </c>
      <c r="D96" s="9" t="s">
        <v>48</v>
      </c>
      <c r="E96" s="9" t="s">
        <v>65</v>
      </c>
      <c r="F96" s="9" t="s">
        <v>80</v>
      </c>
      <c r="G96" s="9" t="s">
        <v>343</v>
      </c>
      <c r="H96" s="9" t="s">
        <v>52</v>
      </c>
      <c r="I96" s="9" t="n">
        <v>11</v>
      </c>
      <c r="J96" s="9" t="n">
        <v>2400.64</v>
      </c>
      <c r="K96" s="9" t="n">
        <v>0</v>
      </c>
      <c r="L96" s="9" t="n">
        <v>516.14</v>
      </c>
    </row>
    <row r="97" customFormat="false" ht="15" hidden="false" customHeight="true" outlineLevel="0" collapsed="false">
      <c r="A97" s="9" t="s">
        <v>344</v>
      </c>
      <c r="B97" s="9" t="s">
        <v>345</v>
      </c>
      <c r="C97" s="9" t="s">
        <v>172</v>
      </c>
      <c r="D97" s="9" t="s">
        <v>48</v>
      </c>
      <c r="E97" s="9" t="s">
        <v>40</v>
      </c>
      <c r="F97" s="9" t="s">
        <v>59</v>
      </c>
      <c r="G97" s="9" t="s">
        <v>346</v>
      </c>
      <c r="H97" s="9" t="s">
        <v>43</v>
      </c>
      <c r="I97" s="9"/>
      <c r="J97" s="9" t="n">
        <v>980.34</v>
      </c>
      <c r="K97" s="9" t="n">
        <v>0</v>
      </c>
      <c r="L97" s="9" t="n">
        <v>154.04</v>
      </c>
    </row>
    <row r="98" customFormat="false" ht="15" hidden="false" customHeight="true" outlineLevel="0" collapsed="false">
      <c r="A98" s="9" t="s">
        <v>347</v>
      </c>
      <c r="B98" s="9" t="s">
        <v>348</v>
      </c>
      <c r="C98" s="9" t="s">
        <v>88</v>
      </c>
      <c r="D98" s="9" t="s">
        <v>39</v>
      </c>
      <c r="E98" s="9" t="s">
        <v>40</v>
      </c>
      <c r="F98" s="9" t="s">
        <v>173</v>
      </c>
      <c r="G98" s="9" t="s">
        <v>349</v>
      </c>
      <c r="H98" s="9" t="s">
        <v>82</v>
      </c>
      <c r="I98" s="9" t="n">
        <v>7</v>
      </c>
      <c r="J98" s="9" t="n">
        <v>626.92</v>
      </c>
      <c r="K98" s="9" t="n">
        <v>0</v>
      </c>
      <c r="L98" s="9" t="n">
        <v>99.93</v>
      </c>
    </row>
    <row r="99" customFormat="false" ht="15" hidden="false" customHeight="true" outlineLevel="0" collapsed="false">
      <c r="A99" s="9" t="s">
        <v>350</v>
      </c>
      <c r="B99" s="9" t="s">
        <v>351</v>
      </c>
      <c r="C99" s="9" t="s">
        <v>38</v>
      </c>
      <c r="D99" s="9" t="s">
        <v>64</v>
      </c>
      <c r="E99" s="9" t="s">
        <v>65</v>
      </c>
      <c r="F99" s="9" t="s">
        <v>76</v>
      </c>
      <c r="G99" s="9" t="s">
        <v>352</v>
      </c>
      <c r="H99" s="9" t="s">
        <v>82</v>
      </c>
      <c r="I99" s="9" t="n">
        <v>10</v>
      </c>
      <c r="J99" s="9" t="n">
        <v>1413.3</v>
      </c>
      <c r="K99" s="9" t="n">
        <v>0.3</v>
      </c>
      <c r="L99" s="9" t="n">
        <v>118.62</v>
      </c>
    </row>
    <row r="100" customFormat="false" ht="15" hidden="false" customHeight="true" outlineLevel="0" collapsed="false">
      <c r="A100" s="9" t="s">
        <v>353</v>
      </c>
      <c r="B100" s="9" t="s">
        <v>354</v>
      </c>
      <c r="C100" s="9" t="s">
        <v>98</v>
      </c>
      <c r="D100" s="9" t="s">
        <v>64</v>
      </c>
      <c r="E100" s="9" t="s">
        <v>65</v>
      </c>
      <c r="F100" s="9" t="s">
        <v>76</v>
      </c>
      <c r="G100" s="9" t="s">
        <v>355</v>
      </c>
      <c r="H100" s="9" t="s">
        <v>43</v>
      </c>
      <c r="I100" s="9" t="n">
        <v>9</v>
      </c>
      <c r="J100" s="9" t="n">
        <v>1318.59</v>
      </c>
      <c r="K100" s="9" t="n">
        <v>0</v>
      </c>
      <c r="L100" s="9" t="n">
        <v>425.28</v>
      </c>
    </row>
    <row r="101" customFormat="false" ht="15" hidden="false" customHeight="true" outlineLevel="0" collapsed="false">
      <c r="A101" s="9" t="s">
        <v>356</v>
      </c>
      <c r="B101" s="9" t="s">
        <v>357</v>
      </c>
      <c r="C101" s="9" t="s">
        <v>358</v>
      </c>
      <c r="D101" s="9" t="s">
        <v>48</v>
      </c>
      <c r="E101" s="9" t="s">
        <v>49</v>
      </c>
      <c r="F101" s="9" t="s">
        <v>50</v>
      </c>
      <c r="G101" s="9" t="s">
        <v>359</v>
      </c>
      <c r="H101" s="9" t="s">
        <v>52</v>
      </c>
      <c r="I101" s="9" t="n">
        <v>6</v>
      </c>
      <c r="J101" s="9" t="n">
        <v>2209.08</v>
      </c>
      <c r="K101" s="9" t="n">
        <v>0.3</v>
      </c>
      <c r="L101" s="9" t="n">
        <v>97.47</v>
      </c>
    </row>
    <row r="102" customFormat="false" ht="15" hidden="false" customHeight="true" outlineLevel="0" collapsed="false">
      <c r="A102" s="9" t="s">
        <v>96</v>
      </c>
      <c r="B102" s="9" t="s">
        <v>97</v>
      </c>
      <c r="C102" s="9" t="s">
        <v>98</v>
      </c>
      <c r="D102" s="9" t="s">
        <v>64</v>
      </c>
      <c r="E102" s="9" t="s">
        <v>40</v>
      </c>
      <c r="F102" s="9" t="s">
        <v>41</v>
      </c>
      <c r="G102" s="9" t="s">
        <v>99</v>
      </c>
      <c r="H102" s="9" t="s">
        <v>43</v>
      </c>
      <c r="I102" s="9" t="n">
        <v>2</v>
      </c>
      <c r="J102" s="9" t="n">
        <v>579.92</v>
      </c>
      <c r="K102" s="9" t="n">
        <v>0.1</v>
      </c>
      <c r="L102" s="9" t="n">
        <v>78.29</v>
      </c>
    </row>
    <row r="103" customFormat="false" ht="15" hidden="false" customHeight="true" outlineLevel="0" collapsed="false">
      <c r="A103" s="9" t="s">
        <v>360</v>
      </c>
      <c r="B103" s="9" t="s">
        <v>361</v>
      </c>
      <c r="C103" s="9" t="s">
        <v>75</v>
      </c>
      <c r="D103" s="9" t="s">
        <v>71</v>
      </c>
      <c r="E103" s="9" t="s">
        <v>65</v>
      </c>
      <c r="F103" s="9" t="s">
        <v>66</v>
      </c>
      <c r="G103" s="9" t="s">
        <v>362</v>
      </c>
      <c r="H103" s="9" t="s">
        <v>82</v>
      </c>
      <c r="I103" s="9"/>
      <c r="J103" s="9" t="n">
        <v>2640.56</v>
      </c>
      <c r="K103" s="9" t="n">
        <v>0</v>
      </c>
      <c r="L103" s="9" t="n">
        <v>395.38</v>
      </c>
    </row>
    <row r="104" customFormat="false" ht="15" hidden="false" customHeight="true" outlineLevel="0" collapsed="false">
      <c r="A104" s="9" t="s">
        <v>363</v>
      </c>
      <c r="B104" s="9" t="s">
        <v>364</v>
      </c>
      <c r="C104" s="9" t="s">
        <v>128</v>
      </c>
      <c r="D104" s="9" t="s">
        <v>71</v>
      </c>
      <c r="E104" s="9" t="s">
        <v>40</v>
      </c>
      <c r="F104" s="9" t="s">
        <v>41</v>
      </c>
      <c r="G104" s="9" t="s">
        <v>365</v>
      </c>
      <c r="H104" s="9" t="s">
        <v>43</v>
      </c>
      <c r="I104" s="9" t="n">
        <v>12</v>
      </c>
      <c r="J104" s="9" t="n">
        <v>3672.6</v>
      </c>
      <c r="K104" s="9" t="n">
        <v>0.3</v>
      </c>
      <c r="L104" s="9" t="n">
        <v>529.03</v>
      </c>
    </row>
    <row r="105" customFormat="false" ht="15" hidden="false" customHeight="true" outlineLevel="0" collapsed="false">
      <c r="A105" s="9" t="s">
        <v>366</v>
      </c>
      <c r="B105" s="9" t="s">
        <v>367</v>
      </c>
      <c r="C105" s="9" t="s">
        <v>172</v>
      </c>
      <c r="D105" s="9" t="s">
        <v>39</v>
      </c>
      <c r="E105" s="9" t="s">
        <v>40</v>
      </c>
      <c r="F105" s="9" t="s">
        <v>173</v>
      </c>
      <c r="G105" s="9" t="s">
        <v>368</v>
      </c>
      <c r="H105" s="9" t="s">
        <v>82</v>
      </c>
      <c r="I105" s="9" t="n">
        <v>8</v>
      </c>
      <c r="J105" s="9" t="n">
        <v>276.16</v>
      </c>
      <c r="K105" s="9" t="n">
        <v>0</v>
      </c>
      <c r="L105" s="9" t="n">
        <v>74.48</v>
      </c>
    </row>
    <row r="106" customFormat="false" ht="15" hidden="false" customHeight="true" outlineLevel="0" collapsed="false">
      <c r="A106" s="9" t="s">
        <v>369</v>
      </c>
      <c r="B106" s="9" t="s">
        <v>370</v>
      </c>
      <c r="C106" s="9" t="s">
        <v>88</v>
      </c>
      <c r="D106" s="9" t="s">
        <v>48</v>
      </c>
      <c r="E106" s="9" t="s">
        <v>65</v>
      </c>
      <c r="F106" s="9" t="s">
        <v>109</v>
      </c>
      <c r="G106" s="9" t="s">
        <v>371</v>
      </c>
      <c r="H106" s="9" t="s">
        <v>82</v>
      </c>
      <c r="I106" s="9" t="n">
        <v>7</v>
      </c>
      <c r="J106" s="9" t="n">
        <v>2587.41</v>
      </c>
      <c r="K106" s="9" t="n">
        <v>0.15</v>
      </c>
      <c r="L106" s="9" t="n">
        <v>186.27</v>
      </c>
    </row>
    <row r="107" customFormat="false" ht="15" hidden="false" customHeight="true" outlineLevel="0" collapsed="false">
      <c r="A107" s="9" t="s">
        <v>372</v>
      </c>
      <c r="B107" s="9" t="s">
        <v>373</v>
      </c>
      <c r="C107" s="9" t="s">
        <v>161</v>
      </c>
      <c r="D107" s="9" t="s">
        <v>64</v>
      </c>
      <c r="E107" s="9" t="s">
        <v>65</v>
      </c>
      <c r="F107" s="9" t="s">
        <v>109</v>
      </c>
      <c r="G107" s="9" t="s">
        <v>374</v>
      </c>
      <c r="H107" s="9" t="s">
        <v>52</v>
      </c>
      <c r="I107" s="9"/>
      <c r="J107" s="9" t="n">
        <v>465.96</v>
      </c>
      <c r="K107" s="9" t="n">
        <v>0.15</v>
      </c>
      <c r="L107" s="9" t="n">
        <v>28.72</v>
      </c>
    </row>
    <row r="108" customFormat="false" ht="15" hidden="false" customHeight="true" outlineLevel="0" collapsed="false">
      <c r="A108" s="9" t="s">
        <v>375</v>
      </c>
      <c r="B108" s="9" t="s">
        <v>376</v>
      </c>
      <c r="C108" s="9" t="s">
        <v>75</v>
      </c>
      <c r="D108" s="9" t="s">
        <v>64</v>
      </c>
      <c r="E108" s="9" t="s">
        <v>49</v>
      </c>
      <c r="F108" s="9" t="s">
        <v>258</v>
      </c>
      <c r="G108" s="9" t="s">
        <v>377</v>
      </c>
      <c r="H108" s="9" t="s">
        <v>82</v>
      </c>
      <c r="I108" s="9" t="n">
        <v>5</v>
      </c>
      <c r="J108" s="9" t="n">
        <v>1349.8</v>
      </c>
      <c r="K108" s="9" t="n">
        <v>0</v>
      </c>
      <c r="L108" s="9" t="n">
        <v>224.95</v>
      </c>
    </row>
    <row r="109" customFormat="false" ht="15" hidden="false" customHeight="true" outlineLevel="0" collapsed="false">
      <c r="A109" s="9" t="s">
        <v>378</v>
      </c>
      <c r="B109" s="9" t="s">
        <v>379</v>
      </c>
      <c r="C109" s="9" t="s">
        <v>38</v>
      </c>
      <c r="D109" s="9" t="s">
        <v>39</v>
      </c>
      <c r="E109" s="9" t="s">
        <v>65</v>
      </c>
      <c r="F109" s="9" t="s">
        <v>76</v>
      </c>
      <c r="G109" s="9" t="s">
        <v>380</v>
      </c>
      <c r="H109" s="9" t="s">
        <v>82</v>
      </c>
      <c r="I109" s="9" t="n">
        <v>2</v>
      </c>
      <c r="J109" s="9" t="n">
        <v>1174.24</v>
      </c>
      <c r="K109" s="9" t="n">
        <v>0.15</v>
      </c>
      <c r="L109" s="9" t="n">
        <v>279.22</v>
      </c>
    </row>
    <row r="110" customFormat="false" ht="15" hidden="false" customHeight="true" outlineLevel="0" collapsed="false">
      <c r="A110" s="9" t="s">
        <v>381</v>
      </c>
      <c r="B110" s="9" t="s">
        <v>382</v>
      </c>
      <c r="C110" s="9" t="s">
        <v>70</v>
      </c>
      <c r="D110" s="9" t="s">
        <v>48</v>
      </c>
      <c r="E110" s="9" t="s">
        <v>65</v>
      </c>
      <c r="F110" s="9" t="s">
        <v>76</v>
      </c>
      <c r="G110" s="9" t="s">
        <v>383</v>
      </c>
      <c r="H110" s="9" t="s">
        <v>43</v>
      </c>
      <c r="I110" s="9" t="n">
        <v>11</v>
      </c>
      <c r="J110" s="9" t="n">
        <v>6259.77</v>
      </c>
      <c r="K110" s="9" t="n">
        <v>0.1</v>
      </c>
      <c r="L110" s="9" t="n">
        <v>1061.99</v>
      </c>
    </row>
    <row r="111" customFormat="false" ht="15" hidden="false" customHeight="true" outlineLevel="0" collapsed="false">
      <c r="A111" s="9" t="s">
        <v>384</v>
      </c>
      <c r="B111" s="9" t="s">
        <v>385</v>
      </c>
      <c r="C111" s="9" t="s">
        <v>113</v>
      </c>
      <c r="D111" s="9" t="s">
        <v>71</v>
      </c>
      <c r="E111" s="9" t="s">
        <v>49</v>
      </c>
      <c r="F111" s="9" t="s">
        <v>207</v>
      </c>
      <c r="G111" s="9" t="s">
        <v>386</v>
      </c>
      <c r="H111" s="9" t="s">
        <v>82</v>
      </c>
      <c r="I111" s="9" t="n">
        <v>7</v>
      </c>
      <c r="J111" s="9" t="n">
        <v>2827.86</v>
      </c>
      <c r="K111" s="9" t="n">
        <v>0.1</v>
      </c>
      <c r="L111" s="9" t="n">
        <v>644.4</v>
      </c>
    </row>
    <row r="112" customFormat="false" ht="15" hidden="false" customHeight="true" outlineLevel="0" collapsed="false">
      <c r="A112" s="9" t="s">
        <v>387</v>
      </c>
      <c r="B112" s="9" t="s">
        <v>388</v>
      </c>
      <c r="C112" s="9" t="s">
        <v>58</v>
      </c>
      <c r="D112" s="9" t="s">
        <v>64</v>
      </c>
      <c r="E112" s="9" t="s">
        <v>65</v>
      </c>
      <c r="F112" s="9" t="s">
        <v>80</v>
      </c>
      <c r="G112" s="9" t="s">
        <v>389</v>
      </c>
      <c r="H112" s="9" t="s">
        <v>52</v>
      </c>
      <c r="I112" s="9" t="n">
        <v>9</v>
      </c>
      <c r="J112" s="9" t="n">
        <v>1447.02</v>
      </c>
      <c r="K112" s="9" t="n">
        <v>0.3</v>
      </c>
      <c r="L112" s="9" t="n">
        <v>87.52</v>
      </c>
    </row>
    <row r="113" customFormat="false" ht="15" hidden="false" customHeight="true" outlineLevel="0" collapsed="false">
      <c r="A113" s="9" t="s">
        <v>390</v>
      </c>
      <c r="B113" s="9" t="s">
        <v>391</v>
      </c>
      <c r="C113" s="9" t="s">
        <v>113</v>
      </c>
      <c r="D113" s="9" t="s">
        <v>71</v>
      </c>
      <c r="E113" s="9" t="s">
        <v>65</v>
      </c>
      <c r="F113" s="9" t="s">
        <v>66</v>
      </c>
      <c r="G113" s="9" t="s">
        <v>392</v>
      </c>
      <c r="H113" s="9" t="s">
        <v>52</v>
      </c>
      <c r="I113" s="9" t="n">
        <v>10</v>
      </c>
      <c r="J113" s="9" t="n">
        <v>3270.8</v>
      </c>
      <c r="K113" s="9" t="n">
        <v>0.15</v>
      </c>
      <c r="L113" s="9" t="n">
        <v>673.63</v>
      </c>
    </row>
    <row r="114" customFormat="false" ht="15" hidden="false" customHeight="true" outlineLevel="0" collapsed="false">
      <c r="A114" s="9" t="s">
        <v>393</v>
      </c>
      <c r="B114" s="9" t="s">
        <v>394</v>
      </c>
      <c r="C114" s="9" t="s">
        <v>38</v>
      </c>
      <c r="D114" s="9" t="s">
        <v>71</v>
      </c>
      <c r="E114" s="9" t="s">
        <v>40</v>
      </c>
      <c r="F114" s="9" t="s">
        <v>41</v>
      </c>
      <c r="G114" s="9" t="s">
        <v>395</v>
      </c>
      <c r="H114" s="9" t="s">
        <v>82</v>
      </c>
      <c r="I114" s="9" t="n">
        <v>1</v>
      </c>
      <c r="J114" s="9" t="n">
        <v>169.71</v>
      </c>
      <c r="K114" s="9" t="n">
        <v>0</v>
      </c>
      <c r="L114" s="9" t="n">
        <v>31.64</v>
      </c>
    </row>
    <row r="115" customFormat="false" ht="15" hidden="false" customHeight="true" outlineLevel="0" collapsed="false">
      <c r="A115" s="9" t="s">
        <v>396</v>
      </c>
      <c r="B115" s="9" t="s">
        <v>397</v>
      </c>
      <c r="C115" s="9" t="s">
        <v>358</v>
      </c>
      <c r="D115" s="9" t="s">
        <v>64</v>
      </c>
      <c r="E115" s="9" t="s">
        <v>65</v>
      </c>
      <c r="F115" s="9" t="s">
        <v>109</v>
      </c>
      <c r="G115" s="9" t="s">
        <v>398</v>
      </c>
      <c r="H115" s="9" t="s">
        <v>82</v>
      </c>
      <c r="I115" s="9" t="n">
        <v>11</v>
      </c>
      <c r="J115" s="9" t="n">
        <v>4028.64</v>
      </c>
      <c r="K115" s="9" t="n">
        <v>0</v>
      </c>
      <c r="L115" s="9" t="n">
        <v>1163.75</v>
      </c>
    </row>
    <row r="116" customFormat="false" ht="15" hidden="false" customHeight="true" outlineLevel="0" collapsed="false">
      <c r="A116" s="9" t="s">
        <v>399</v>
      </c>
      <c r="B116" s="9" t="s">
        <v>400</v>
      </c>
      <c r="C116" s="9" t="s">
        <v>88</v>
      </c>
      <c r="D116" s="9" t="s">
        <v>39</v>
      </c>
      <c r="E116" s="9" t="s">
        <v>65</v>
      </c>
      <c r="F116" s="9" t="s">
        <v>80</v>
      </c>
      <c r="G116" s="9" t="s">
        <v>401</v>
      </c>
      <c r="H116" s="9" t="s">
        <v>52</v>
      </c>
      <c r="I116" s="9" t="n">
        <v>2</v>
      </c>
      <c r="J116" s="9" t="n">
        <v>922.24</v>
      </c>
      <c r="K116" s="9" t="n">
        <v>0.15</v>
      </c>
      <c r="L116" s="9" t="n">
        <v>92.38</v>
      </c>
    </row>
    <row r="117" customFormat="false" ht="15" hidden="false" customHeight="true" outlineLevel="0" collapsed="false">
      <c r="A117" s="9" t="s">
        <v>360</v>
      </c>
      <c r="B117" s="9" t="s">
        <v>361</v>
      </c>
      <c r="C117" s="9" t="s">
        <v>75</v>
      </c>
      <c r="D117" s="9" t="s">
        <v>71</v>
      </c>
      <c r="E117" s="9" t="s">
        <v>65</v>
      </c>
      <c r="F117" s="9" t="s">
        <v>66</v>
      </c>
      <c r="G117" s="9" t="s">
        <v>362</v>
      </c>
      <c r="H117" s="9" t="s">
        <v>82</v>
      </c>
      <c r="I117" s="9"/>
      <c r="J117" s="9" t="n">
        <v>2640.56</v>
      </c>
      <c r="K117" s="9" t="n">
        <v>0</v>
      </c>
      <c r="L117" s="9" t="n">
        <v>395.38</v>
      </c>
    </row>
    <row r="118" customFormat="false" ht="15" hidden="false" customHeight="true" outlineLevel="0" collapsed="false">
      <c r="A118" s="9" t="s">
        <v>402</v>
      </c>
      <c r="B118" s="9" t="s">
        <v>403</v>
      </c>
      <c r="C118" s="9" t="s">
        <v>58</v>
      </c>
      <c r="D118" s="9" t="s">
        <v>39</v>
      </c>
      <c r="E118" s="9" t="s">
        <v>65</v>
      </c>
      <c r="F118" s="9" t="s">
        <v>80</v>
      </c>
      <c r="G118" s="9" t="s">
        <v>404</v>
      </c>
      <c r="H118" s="9" t="s">
        <v>52</v>
      </c>
      <c r="I118" s="9" t="n">
        <v>12</v>
      </c>
      <c r="J118" s="9" t="n">
        <v>2282.28</v>
      </c>
      <c r="K118" s="9" t="n">
        <v>0</v>
      </c>
      <c r="L118" s="9" t="n">
        <v>145.6</v>
      </c>
    </row>
    <row r="119" customFormat="false" ht="15" hidden="false" customHeight="true" outlineLevel="0" collapsed="false">
      <c r="A119" s="9" t="s">
        <v>405</v>
      </c>
      <c r="B119" s="9" t="s">
        <v>406</v>
      </c>
      <c r="C119" s="9" t="s">
        <v>58</v>
      </c>
      <c r="D119" s="9" t="s">
        <v>71</v>
      </c>
      <c r="E119" s="9" t="s">
        <v>49</v>
      </c>
      <c r="F119" s="9" t="s">
        <v>50</v>
      </c>
      <c r="G119" s="9" t="s">
        <v>407</v>
      </c>
      <c r="H119" s="9" t="s">
        <v>43</v>
      </c>
      <c r="I119" s="9" t="n">
        <v>7</v>
      </c>
      <c r="J119" s="9" t="n">
        <v>826.28</v>
      </c>
      <c r="K119" s="9" t="n">
        <v>0.15</v>
      </c>
      <c r="L119" s="9" t="n">
        <v>238.54</v>
      </c>
    </row>
    <row r="120" customFormat="false" ht="15" hidden="false" customHeight="true" outlineLevel="0" collapsed="false">
      <c r="A120" s="9" t="s">
        <v>408</v>
      </c>
      <c r="B120" s="9" t="s">
        <v>385</v>
      </c>
      <c r="C120" s="9" t="s">
        <v>128</v>
      </c>
      <c r="D120" s="9" t="s">
        <v>39</v>
      </c>
      <c r="E120" s="9" t="s">
        <v>65</v>
      </c>
      <c r="F120" s="9" t="s">
        <v>76</v>
      </c>
      <c r="G120" s="9" t="s">
        <v>409</v>
      </c>
      <c r="H120" s="9" t="s">
        <v>43</v>
      </c>
      <c r="I120" s="9"/>
      <c r="J120" s="9" t="n">
        <v>1788.32</v>
      </c>
      <c r="K120" s="9" t="n">
        <v>0</v>
      </c>
      <c r="L120" s="9" t="n">
        <v>478.15</v>
      </c>
    </row>
    <row r="121" customFormat="false" ht="15" hidden="false" customHeight="true" outlineLevel="0" collapsed="false">
      <c r="A121" s="9" t="s">
        <v>410</v>
      </c>
      <c r="B121" s="9" t="s">
        <v>411</v>
      </c>
      <c r="C121" s="9" t="s">
        <v>47</v>
      </c>
      <c r="D121" s="9" t="s">
        <v>71</v>
      </c>
      <c r="E121" s="9" t="s">
        <v>49</v>
      </c>
      <c r="F121" s="9" t="s">
        <v>129</v>
      </c>
      <c r="G121" s="9" t="s">
        <v>412</v>
      </c>
      <c r="H121" s="9" t="s">
        <v>43</v>
      </c>
      <c r="I121" s="9" t="n">
        <v>4</v>
      </c>
      <c r="J121" s="9" t="n">
        <v>260.32</v>
      </c>
      <c r="K121" s="9" t="n">
        <v>0.2</v>
      </c>
      <c r="L121" s="9" t="n">
        <v>35.81</v>
      </c>
    </row>
    <row r="122" customFormat="false" ht="15" hidden="false" customHeight="true" outlineLevel="0" collapsed="false">
      <c r="A122" s="9" t="s">
        <v>413</v>
      </c>
      <c r="B122" s="9" t="s">
        <v>414</v>
      </c>
      <c r="C122" s="9" t="s">
        <v>58</v>
      </c>
      <c r="D122" s="9" t="s">
        <v>39</v>
      </c>
      <c r="E122" s="9" t="s">
        <v>49</v>
      </c>
      <c r="F122" s="9" t="s">
        <v>258</v>
      </c>
      <c r="G122" s="9" t="s">
        <v>415</v>
      </c>
      <c r="H122" s="9" t="s">
        <v>52</v>
      </c>
      <c r="I122" s="9" t="n">
        <v>11</v>
      </c>
      <c r="J122" s="9" t="n">
        <v>2792.35</v>
      </c>
      <c r="K122" s="9" t="n">
        <v>0</v>
      </c>
      <c r="L122" s="9" t="n">
        <v>177.6</v>
      </c>
    </row>
    <row r="123" customFormat="false" ht="15" hidden="false" customHeight="true" outlineLevel="0" collapsed="false">
      <c r="A123" s="9" t="s">
        <v>416</v>
      </c>
      <c r="B123" s="9" t="s">
        <v>417</v>
      </c>
      <c r="C123" s="9" t="s">
        <v>63</v>
      </c>
      <c r="D123" s="9" t="s">
        <v>48</v>
      </c>
      <c r="E123" s="9" t="s">
        <v>65</v>
      </c>
      <c r="F123" s="9" t="s">
        <v>80</v>
      </c>
      <c r="G123" s="9" t="s">
        <v>418</v>
      </c>
      <c r="H123" s="9" t="s">
        <v>82</v>
      </c>
      <c r="I123" s="9" t="n">
        <v>8</v>
      </c>
      <c r="J123" s="9" t="n">
        <v>4102.48</v>
      </c>
      <c r="K123" s="9" t="n">
        <v>0</v>
      </c>
      <c r="L123" s="9" t="n">
        <v>805.17</v>
      </c>
    </row>
    <row r="124" customFormat="false" ht="15" hidden="false" customHeight="true" outlineLevel="0" collapsed="false">
      <c r="A124" s="9" t="s">
        <v>419</v>
      </c>
      <c r="B124" s="9" t="s">
        <v>420</v>
      </c>
      <c r="C124" s="9" t="s">
        <v>165</v>
      </c>
      <c r="D124" s="9" t="s">
        <v>39</v>
      </c>
      <c r="E124" s="9" t="s">
        <v>40</v>
      </c>
      <c r="F124" s="9" t="s">
        <v>143</v>
      </c>
      <c r="G124" s="9" t="s">
        <v>421</v>
      </c>
      <c r="H124" s="9" t="s">
        <v>43</v>
      </c>
      <c r="I124" s="9" t="n">
        <v>4</v>
      </c>
      <c r="J124" s="9" t="n">
        <v>1065.92</v>
      </c>
      <c r="K124" s="9" t="n">
        <v>0.15</v>
      </c>
      <c r="L124" s="9" t="n">
        <v>210.2</v>
      </c>
    </row>
    <row r="125" customFormat="false" ht="15" hidden="false" customHeight="true" outlineLevel="0" collapsed="false">
      <c r="A125" s="9" t="s">
        <v>422</v>
      </c>
      <c r="B125" s="9" t="s">
        <v>423</v>
      </c>
      <c r="C125" s="9" t="s">
        <v>165</v>
      </c>
      <c r="D125" s="9" t="s">
        <v>48</v>
      </c>
      <c r="E125" s="9" t="s">
        <v>49</v>
      </c>
      <c r="F125" s="9" t="s">
        <v>207</v>
      </c>
      <c r="G125" s="9" t="s">
        <v>424</v>
      </c>
      <c r="H125" s="9" t="s">
        <v>82</v>
      </c>
      <c r="I125" s="9" t="n">
        <v>4</v>
      </c>
      <c r="J125" s="9" t="n">
        <v>734.16</v>
      </c>
      <c r="K125" s="9" t="n">
        <v>0</v>
      </c>
      <c r="L125" s="9" t="n">
        <v>191.54</v>
      </c>
    </row>
    <row r="126" customFormat="false" ht="15" hidden="false" customHeight="true" outlineLevel="0" collapsed="false">
      <c r="A126" s="9" t="s">
        <v>425</v>
      </c>
      <c r="B126" s="9" t="s">
        <v>426</v>
      </c>
      <c r="C126" s="9" t="s">
        <v>102</v>
      </c>
      <c r="D126" s="9" t="s">
        <v>64</v>
      </c>
      <c r="E126" s="9" t="s">
        <v>49</v>
      </c>
      <c r="F126" s="9" t="s">
        <v>129</v>
      </c>
      <c r="G126" s="9" t="s">
        <v>427</v>
      </c>
      <c r="H126" s="9" t="s">
        <v>82</v>
      </c>
      <c r="I126" s="9" t="n">
        <v>3</v>
      </c>
      <c r="J126" s="9" t="n">
        <v>494.22</v>
      </c>
      <c r="K126" s="9" t="n">
        <v>0</v>
      </c>
      <c r="L126" s="9" t="n">
        <v>114.03</v>
      </c>
    </row>
    <row r="127" customFormat="false" ht="15" hidden="false" customHeight="true" outlineLevel="0" collapsed="false">
      <c r="A127" s="9" t="s">
        <v>428</v>
      </c>
      <c r="B127" s="9" t="s">
        <v>429</v>
      </c>
      <c r="C127" s="9" t="s">
        <v>102</v>
      </c>
      <c r="D127" s="9" t="s">
        <v>39</v>
      </c>
      <c r="E127" s="9" t="s">
        <v>49</v>
      </c>
      <c r="F127" s="9" t="s">
        <v>207</v>
      </c>
      <c r="G127" s="9" t="s">
        <v>430</v>
      </c>
      <c r="H127" s="9" t="s">
        <v>52</v>
      </c>
      <c r="I127" s="9" t="n">
        <v>7</v>
      </c>
      <c r="J127" s="9" t="n">
        <v>1962.66</v>
      </c>
      <c r="K127" s="9" t="n">
        <v>0.2</v>
      </c>
      <c r="L127" s="9" t="n">
        <v>525.7</v>
      </c>
    </row>
    <row r="128" customFormat="false" ht="15" hidden="false" customHeight="true" outlineLevel="0" collapsed="false">
      <c r="A128" s="9" t="s">
        <v>402</v>
      </c>
      <c r="B128" s="9" t="s">
        <v>403</v>
      </c>
      <c r="C128" s="9" t="s">
        <v>58</v>
      </c>
      <c r="D128" s="9" t="s">
        <v>39</v>
      </c>
      <c r="E128" s="9" t="s">
        <v>65</v>
      </c>
      <c r="F128" s="9" t="s">
        <v>80</v>
      </c>
      <c r="G128" s="9" t="s">
        <v>404</v>
      </c>
      <c r="H128" s="9" t="s">
        <v>52</v>
      </c>
      <c r="I128" s="9" t="n">
        <v>12</v>
      </c>
      <c r="J128" s="9" t="n">
        <v>2282.28</v>
      </c>
      <c r="K128" s="9" t="n">
        <v>0</v>
      </c>
      <c r="L128" s="9" t="n">
        <v>145.6</v>
      </c>
    </row>
    <row r="129" customFormat="false" ht="15" hidden="false" customHeight="true" outlineLevel="0" collapsed="false">
      <c r="A129" s="9" t="s">
        <v>431</v>
      </c>
      <c r="B129" s="9" t="s">
        <v>432</v>
      </c>
      <c r="C129" s="9" t="s">
        <v>58</v>
      </c>
      <c r="D129" s="9" t="s">
        <v>48</v>
      </c>
      <c r="E129" s="9" t="s">
        <v>49</v>
      </c>
      <c r="F129" s="9" t="s">
        <v>258</v>
      </c>
      <c r="G129" s="9" t="s">
        <v>433</v>
      </c>
      <c r="H129" s="9" t="s">
        <v>82</v>
      </c>
      <c r="I129" s="9"/>
      <c r="J129" s="9" t="n">
        <v>383.2</v>
      </c>
      <c r="K129" s="9" t="n">
        <v>0.1</v>
      </c>
      <c r="L129" s="9" t="n">
        <v>93.24</v>
      </c>
    </row>
    <row r="130" customFormat="false" ht="15" hidden="false" customHeight="true" outlineLevel="0" collapsed="false">
      <c r="A130" s="9" t="s">
        <v>434</v>
      </c>
      <c r="B130" s="9" t="s">
        <v>435</v>
      </c>
      <c r="C130" s="9" t="s">
        <v>47</v>
      </c>
      <c r="D130" s="9" t="s">
        <v>71</v>
      </c>
      <c r="E130" s="9" t="s">
        <v>65</v>
      </c>
      <c r="F130" s="9" t="s">
        <v>80</v>
      </c>
      <c r="G130" s="9" t="s">
        <v>436</v>
      </c>
      <c r="H130" s="9" t="s">
        <v>82</v>
      </c>
      <c r="I130" s="9" t="n">
        <v>5</v>
      </c>
      <c r="J130" s="9" t="n">
        <v>602.25</v>
      </c>
      <c r="K130" s="9" t="n">
        <v>0</v>
      </c>
      <c r="L130" s="9" t="n">
        <v>91.85</v>
      </c>
    </row>
    <row r="131" customFormat="false" ht="15" hidden="false" customHeight="true" outlineLevel="0" collapsed="false">
      <c r="A131" s="9" t="s">
        <v>437</v>
      </c>
      <c r="B131" s="9" t="s">
        <v>438</v>
      </c>
      <c r="C131" s="9" t="s">
        <v>63</v>
      </c>
      <c r="D131" s="9" t="s">
        <v>71</v>
      </c>
      <c r="E131" s="9" t="s">
        <v>49</v>
      </c>
      <c r="F131" s="9" t="s">
        <v>207</v>
      </c>
      <c r="G131" s="9" t="s">
        <v>439</v>
      </c>
      <c r="H131" s="9" t="s">
        <v>52</v>
      </c>
      <c r="I131" s="9" t="n">
        <v>12</v>
      </c>
      <c r="J131" s="9" t="n">
        <v>6498.36</v>
      </c>
      <c r="K131" s="9" t="n">
        <v>0.15</v>
      </c>
      <c r="L131" s="9" t="n">
        <v>788.69</v>
      </c>
    </row>
    <row r="132" customFormat="false" ht="15" hidden="false" customHeight="true" outlineLevel="0" collapsed="false">
      <c r="A132" s="9" t="s">
        <v>73</v>
      </c>
      <c r="B132" s="9" t="s">
        <v>74</v>
      </c>
      <c r="C132" s="9" t="s">
        <v>75</v>
      </c>
      <c r="D132" s="9" t="s">
        <v>48</v>
      </c>
      <c r="E132" s="9" t="s">
        <v>65</v>
      </c>
      <c r="F132" s="9" t="s">
        <v>76</v>
      </c>
      <c r="G132" s="9" t="s">
        <v>77</v>
      </c>
      <c r="H132" s="9" t="s">
        <v>43</v>
      </c>
      <c r="I132" s="9" t="n">
        <v>11</v>
      </c>
      <c r="J132" s="9" t="n">
        <v>6247.34</v>
      </c>
      <c r="K132" s="9" t="n">
        <v>0.3</v>
      </c>
      <c r="L132" s="9" t="n">
        <v>1216.39</v>
      </c>
    </row>
    <row r="133" customFormat="false" ht="15" hidden="false" customHeight="true" outlineLevel="0" collapsed="false">
      <c r="A133" s="9" t="s">
        <v>440</v>
      </c>
      <c r="B133" s="9" t="s">
        <v>441</v>
      </c>
      <c r="C133" s="9" t="s">
        <v>70</v>
      </c>
      <c r="D133" s="9" t="s">
        <v>39</v>
      </c>
      <c r="E133" s="9" t="s">
        <v>40</v>
      </c>
      <c r="F133" s="9" t="s">
        <v>41</v>
      </c>
      <c r="G133" s="9" t="s">
        <v>442</v>
      </c>
      <c r="H133" s="9" t="s">
        <v>43</v>
      </c>
      <c r="I133" s="9" t="n">
        <v>6</v>
      </c>
      <c r="J133" s="9"/>
      <c r="K133" s="9" t="n">
        <v>0.1</v>
      </c>
      <c r="L133" s="9" t="n">
        <v>486.63</v>
      </c>
    </row>
    <row r="134" customFormat="false" ht="15" hidden="false" customHeight="true" outlineLevel="0" collapsed="false">
      <c r="A134" s="9" t="s">
        <v>443</v>
      </c>
      <c r="B134" s="9" t="s">
        <v>417</v>
      </c>
      <c r="C134" s="9" t="s">
        <v>172</v>
      </c>
      <c r="D134" s="9" t="s">
        <v>71</v>
      </c>
      <c r="E134" s="9" t="s">
        <v>40</v>
      </c>
      <c r="F134" s="9" t="s">
        <v>173</v>
      </c>
      <c r="G134" s="9" t="s">
        <v>444</v>
      </c>
      <c r="H134" s="9" t="s">
        <v>52</v>
      </c>
      <c r="I134" s="9" t="n">
        <v>2</v>
      </c>
      <c r="J134" s="9" t="n">
        <v>83.2</v>
      </c>
      <c r="K134" s="9" t="n">
        <v>0.2</v>
      </c>
      <c r="L134" s="9" t="n">
        <v>18.72</v>
      </c>
    </row>
    <row r="135" customFormat="false" ht="15" hidden="false" customHeight="true" outlineLevel="0" collapsed="false">
      <c r="A135" s="9" t="s">
        <v>269</v>
      </c>
      <c r="B135" s="9" t="s">
        <v>270</v>
      </c>
      <c r="C135" s="9" t="s">
        <v>98</v>
      </c>
      <c r="D135" s="9" t="s">
        <v>48</v>
      </c>
      <c r="E135" s="9" t="s">
        <v>49</v>
      </c>
      <c r="F135" s="9" t="s">
        <v>258</v>
      </c>
      <c r="G135" s="9" t="s">
        <v>271</v>
      </c>
      <c r="H135" s="9" t="s">
        <v>43</v>
      </c>
      <c r="I135" s="9" t="n">
        <v>2</v>
      </c>
      <c r="J135" s="9" t="n">
        <v>503.88</v>
      </c>
      <c r="K135" s="9" t="n">
        <v>0</v>
      </c>
      <c r="L135" s="9" t="n">
        <v>51.18</v>
      </c>
    </row>
    <row r="136" customFormat="false" ht="15" hidden="false" customHeight="true" outlineLevel="0" collapsed="false">
      <c r="A136" s="9" t="s">
        <v>445</v>
      </c>
      <c r="B136" s="9" t="s">
        <v>446</v>
      </c>
      <c r="C136" s="9" t="s">
        <v>63</v>
      </c>
      <c r="D136" s="9" t="s">
        <v>48</v>
      </c>
      <c r="E136" s="9" t="s">
        <v>49</v>
      </c>
      <c r="F136" s="9" t="s">
        <v>129</v>
      </c>
      <c r="G136" s="9" t="s">
        <v>447</v>
      </c>
      <c r="H136" s="9" t="s">
        <v>82</v>
      </c>
      <c r="I136" s="9" t="n">
        <v>2</v>
      </c>
      <c r="J136" s="9" t="n">
        <v>1056.14</v>
      </c>
      <c r="K136" s="9" t="n">
        <v>0</v>
      </c>
      <c r="L136" s="9" t="n">
        <v>109.38</v>
      </c>
    </row>
    <row r="137" customFormat="false" ht="15" hidden="false" customHeight="true" outlineLevel="0" collapsed="false">
      <c r="A137" s="9" t="s">
        <v>448</v>
      </c>
      <c r="B137" s="9" t="s">
        <v>449</v>
      </c>
      <c r="C137" s="9" t="s">
        <v>38</v>
      </c>
      <c r="D137" s="9" t="s">
        <v>64</v>
      </c>
      <c r="E137" s="9" t="s">
        <v>65</v>
      </c>
      <c r="F137" s="9" t="s">
        <v>109</v>
      </c>
      <c r="G137" s="9" t="s">
        <v>450</v>
      </c>
      <c r="H137" s="9" t="s">
        <v>43</v>
      </c>
      <c r="I137" s="9" t="n">
        <v>5</v>
      </c>
      <c r="J137" s="9" t="n">
        <v>1901.15</v>
      </c>
      <c r="K137" s="9" t="n">
        <v>0.15</v>
      </c>
      <c r="L137" s="9" t="n">
        <v>346.64</v>
      </c>
    </row>
    <row r="138" customFormat="false" ht="15" hidden="false" customHeight="true" outlineLevel="0" collapsed="false">
      <c r="A138" s="9" t="s">
        <v>451</v>
      </c>
      <c r="B138" s="9" t="s">
        <v>452</v>
      </c>
      <c r="C138" s="9" t="s">
        <v>358</v>
      </c>
      <c r="D138" s="9" t="s">
        <v>48</v>
      </c>
      <c r="E138" s="9" t="s">
        <v>49</v>
      </c>
      <c r="F138" s="9" t="s">
        <v>129</v>
      </c>
      <c r="G138" s="9" t="s">
        <v>453</v>
      </c>
      <c r="H138" s="9" t="s">
        <v>52</v>
      </c>
      <c r="I138" s="9" t="n">
        <v>7</v>
      </c>
      <c r="J138" s="9" t="n">
        <v>2516.43</v>
      </c>
      <c r="K138" s="9" t="n">
        <v>0.15</v>
      </c>
      <c r="L138" s="9" t="n">
        <v>157.42</v>
      </c>
    </row>
    <row r="139" customFormat="false" ht="15" hidden="false" customHeight="true" outlineLevel="0" collapsed="false">
      <c r="A139" s="9" t="s">
        <v>454</v>
      </c>
      <c r="B139" s="9" t="s">
        <v>455</v>
      </c>
      <c r="C139" s="9" t="s">
        <v>172</v>
      </c>
      <c r="D139" s="9" t="s">
        <v>48</v>
      </c>
      <c r="E139" s="9" t="s">
        <v>49</v>
      </c>
      <c r="F139" s="9" t="s">
        <v>129</v>
      </c>
      <c r="G139" s="9" t="s">
        <v>456</v>
      </c>
      <c r="H139" s="9" t="s">
        <v>82</v>
      </c>
      <c r="I139" s="9" t="n">
        <v>10</v>
      </c>
      <c r="J139" s="9" t="n">
        <v>1977.8</v>
      </c>
      <c r="K139" s="9" t="n">
        <v>0</v>
      </c>
      <c r="L139" s="9" t="n">
        <v>441.79</v>
      </c>
    </row>
    <row r="140" customFormat="false" ht="15" hidden="false" customHeight="true" outlineLevel="0" collapsed="false">
      <c r="A140" s="9" t="s">
        <v>457</v>
      </c>
      <c r="B140" s="9" t="s">
        <v>458</v>
      </c>
      <c r="C140" s="9" t="s">
        <v>98</v>
      </c>
      <c r="D140" s="9" t="s">
        <v>39</v>
      </c>
      <c r="E140" s="9" t="s">
        <v>65</v>
      </c>
      <c r="F140" s="9" t="s">
        <v>76</v>
      </c>
      <c r="G140" s="9" t="s">
        <v>459</v>
      </c>
      <c r="H140" s="9" t="s">
        <v>43</v>
      </c>
      <c r="I140" s="9" t="n">
        <v>4</v>
      </c>
      <c r="J140" s="9" t="n">
        <v>2381.88</v>
      </c>
      <c r="K140" s="9" t="n">
        <v>0</v>
      </c>
      <c r="L140" s="9" t="n">
        <v>448.83</v>
      </c>
    </row>
    <row r="141" customFormat="false" ht="15" hidden="false" customHeight="true" outlineLevel="0" collapsed="false">
      <c r="A141" s="9" t="s">
        <v>460</v>
      </c>
      <c r="B141" s="9" t="s">
        <v>461</v>
      </c>
      <c r="C141" s="9" t="s">
        <v>98</v>
      </c>
      <c r="D141" s="9" t="s">
        <v>64</v>
      </c>
      <c r="E141" s="9" t="s">
        <v>65</v>
      </c>
      <c r="F141" s="9" t="s">
        <v>76</v>
      </c>
      <c r="G141" s="9" t="s">
        <v>462</v>
      </c>
      <c r="H141" s="9" t="s">
        <v>52</v>
      </c>
      <c r="I141" s="9" t="n">
        <v>3</v>
      </c>
      <c r="J141" s="9" t="n">
        <v>1337.67</v>
      </c>
      <c r="K141" s="9" t="n">
        <v>0</v>
      </c>
      <c r="L141" s="9" t="n">
        <v>380.86</v>
      </c>
    </row>
    <row r="142" customFormat="false" ht="15" hidden="false" customHeight="true" outlineLevel="0" collapsed="false">
      <c r="A142" s="9" t="s">
        <v>463</v>
      </c>
      <c r="B142" s="9" t="s">
        <v>376</v>
      </c>
      <c r="C142" s="9" t="s">
        <v>88</v>
      </c>
      <c r="D142" s="9" t="s">
        <v>48</v>
      </c>
      <c r="E142" s="9" t="s">
        <v>49</v>
      </c>
      <c r="F142" s="9" t="s">
        <v>258</v>
      </c>
      <c r="G142" s="9" t="s">
        <v>464</v>
      </c>
      <c r="H142" s="9" t="s">
        <v>43</v>
      </c>
      <c r="I142" s="9" t="n">
        <v>3</v>
      </c>
      <c r="J142" s="9" t="n">
        <v>939.21</v>
      </c>
      <c r="K142" s="9" t="n">
        <v>0</v>
      </c>
      <c r="L142" s="9" t="n">
        <v>259.91</v>
      </c>
    </row>
    <row r="143" customFormat="false" ht="15" hidden="false" customHeight="true" outlineLevel="0" collapsed="false">
      <c r="A143" s="9" t="s">
        <v>465</v>
      </c>
      <c r="B143" s="9" t="s">
        <v>466</v>
      </c>
      <c r="C143" s="9" t="s">
        <v>102</v>
      </c>
      <c r="D143" s="9" t="s">
        <v>71</v>
      </c>
      <c r="E143" s="9" t="s">
        <v>49</v>
      </c>
      <c r="F143" s="9" t="s">
        <v>129</v>
      </c>
      <c r="G143" s="9" t="s">
        <v>467</v>
      </c>
      <c r="H143" s="9" t="s">
        <v>82</v>
      </c>
      <c r="I143" s="9" t="n">
        <v>1</v>
      </c>
      <c r="J143" s="9" t="n">
        <v>445.37</v>
      </c>
      <c r="K143" s="9" t="n">
        <v>0.1</v>
      </c>
      <c r="L143" s="9" t="n">
        <v>82.3</v>
      </c>
    </row>
    <row r="144" customFormat="false" ht="15" hidden="false" customHeight="true" outlineLevel="0" collapsed="false">
      <c r="A144" s="9" t="s">
        <v>468</v>
      </c>
      <c r="B144" s="9" t="s">
        <v>469</v>
      </c>
      <c r="C144" s="9" t="s">
        <v>98</v>
      </c>
      <c r="D144" s="9" t="s">
        <v>64</v>
      </c>
      <c r="E144" s="9" t="s">
        <v>65</v>
      </c>
      <c r="F144" s="9" t="s">
        <v>76</v>
      </c>
      <c r="G144" s="9" t="s">
        <v>470</v>
      </c>
      <c r="H144" s="9" t="s">
        <v>82</v>
      </c>
      <c r="I144" s="9" t="n">
        <v>7</v>
      </c>
      <c r="J144" s="9" t="n">
        <v>1667.75</v>
      </c>
      <c r="K144" s="9" t="n">
        <v>0.1</v>
      </c>
      <c r="L144" s="9" t="n">
        <v>313.3</v>
      </c>
    </row>
    <row r="145" customFormat="false" ht="15" hidden="false" customHeight="true" outlineLevel="0" collapsed="false">
      <c r="A145" s="9" t="s">
        <v>471</v>
      </c>
      <c r="B145" s="9" t="s">
        <v>472</v>
      </c>
      <c r="C145" s="9" t="s">
        <v>172</v>
      </c>
      <c r="D145" s="9" t="s">
        <v>71</v>
      </c>
      <c r="E145" s="9" t="s">
        <v>40</v>
      </c>
      <c r="F145" s="9" t="s">
        <v>41</v>
      </c>
      <c r="G145" s="9" t="s">
        <v>473</v>
      </c>
      <c r="H145" s="9" t="s">
        <v>82</v>
      </c>
      <c r="I145" s="9" t="n">
        <v>7</v>
      </c>
      <c r="J145" s="9" t="n">
        <v>4136.3</v>
      </c>
      <c r="K145" s="9" t="n">
        <v>0</v>
      </c>
      <c r="L145" s="9" t="n">
        <v>216.35</v>
      </c>
    </row>
    <row r="146" customFormat="false" ht="15" hidden="false" customHeight="true" outlineLevel="0" collapsed="false">
      <c r="A146" s="9" t="s">
        <v>474</v>
      </c>
      <c r="B146" s="9" t="s">
        <v>475</v>
      </c>
      <c r="C146" s="9" t="s">
        <v>358</v>
      </c>
      <c r="D146" s="9" t="s">
        <v>64</v>
      </c>
      <c r="E146" s="9" t="s">
        <v>40</v>
      </c>
      <c r="F146" s="9" t="s">
        <v>173</v>
      </c>
      <c r="G146" s="9" t="s">
        <v>476</v>
      </c>
      <c r="H146" s="9" t="s">
        <v>43</v>
      </c>
      <c r="I146" s="9" t="n">
        <v>1</v>
      </c>
      <c r="J146" s="9" t="n">
        <v>517.28</v>
      </c>
      <c r="K146" s="9" t="n">
        <v>0</v>
      </c>
      <c r="L146" s="9" t="n">
        <v>56.83</v>
      </c>
    </row>
    <row r="147" customFormat="false" ht="15" hidden="false" customHeight="true" outlineLevel="0" collapsed="false">
      <c r="A147" s="9" t="s">
        <v>477</v>
      </c>
      <c r="B147" s="9" t="s">
        <v>478</v>
      </c>
      <c r="C147" s="9" t="s">
        <v>38</v>
      </c>
      <c r="D147" s="9" t="s">
        <v>71</v>
      </c>
      <c r="E147" s="9" t="s">
        <v>40</v>
      </c>
      <c r="F147" s="9" t="s">
        <v>173</v>
      </c>
      <c r="G147" s="9" t="s">
        <v>479</v>
      </c>
      <c r="H147" s="9" t="s">
        <v>82</v>
      </c>
      <c r="I147" s="9" t="n">
        <v>12</v>
      </c>
      <c r="J147" s="9" t="n">
        <v>477</v>
      </c>
      <c r="K147" s="9" t="n">
        <v>0</v>
      </c>
      <c r="L147" s="9" t="n">
        <v>89.64</v>
      </c>
    </row>
    <row r="148" customFormat="false" ht="15" hidden="false" customHeight="true" outlineLevel="0" collapsed="false">
      <c r="A148" s="9" t="s">
        <v>480</v>
      </c>
      <c r="B148" s="9" t="s">
        <v>342</v>
      </c>
      <c r="C148" s="9" t="s">
        <v>63</v>
      </c>
      <c r="D148" s="9" t="s">
        <v>71</v>
      </c>
      <c r="E148" s="9" t="s">
        <v>40</v>
      </c>
      <c r="F148" s="9" t="s">
        <v>143</v>
      </c>
      <c r="G148" s="9" t="s">
        <v>481</v>
      </c>
      <c r="H148" s="9" t="s">
        <v>52</v>
      </c>
      <c r="I148" s="9" t="n">
        <v>9</v>
      </c>
      <c r="J148" s="9" t="n">
        <v>559.26</v>
      </c>
      <c r="K148" s="9" t="n">
        <v>0</v>
      </c>
      <c r="L148" s="9" t="n">
        <v>66.76</v>
      </c>
    </row>
    <row r="149" customFormat="false" ht="15" hidden="false" customHeight="true" outlineLevel="0" collapsed="false">
      <c r="A149" s="9" t="s">
        <v>474</v>
      </c>
      <c r="B149" s="9" t="s">
        <v>475</v>
      </c>
      <c r="C149" s="9" t="s">
        <v>358</v>
      </c>
      <c r="D149" s="9" t="s">
        <v>64</v>
      </c>
      <c r="E149" s="9" t="s">
        <v>40</v>
      </c>
      <c r="F149" s="9" t="s">
        <v>173</v>
      </c>
      <c r="G149" s="9" t="s">
        <v>476</v>
      </c>
      <c r="H149" s="9" t="s">
        <v>43</v>
      </c>
      <c r="I149" s="9" t="n">
        <v>1</v>
      </c>
      <c r="J149" s="9" t="n">
        <v>517.28</v>
      </c>
      <c r="K149" s="9" t="n">
        <v>0</v>
      </c>
      <c r="L149" s="9" t="n">
        <v>56.83</v>
      </c>
    </row>
    <row r="150" customFormat="false" ht="15" hidden="false" customHeight="true" outlineLevel="0" collapsed="false">
      <c r="A150" s="9" t="s">
        <v>482</v>
      </c>
      <c r="B150" s="9" t="s">
        <v>483</v>
      </c>
      <c r="C150" s="9" t="s">
        <v>70</v>
      </c>
      <c r="D150" s="9" t="s">
        <v>48</v>
      </c>
      <c r="E150" s="9" t="s">
        <v>65</v>
      </c>
      <c r="F150" s="9" t="s">
        <v>66</v>
      </c>
      <c r="G150" s="9" t="s">
        <v>484</v>
      </c>
      <c r="H150" s="9" t="s">
        <v>43</v>
      </c>
      <c r="I150" s="9" t="n">
        <v>12</v>
      </c>
      <c r="J150" s="9" t="n">
        <v>6613.68</v>
      </c>
      <c r="K150" s="9" t="n">
        <v>0.1</v>
      </c>
      <c r="L150" s="9" t="n">
        <v>655.07</v>
      </c>
    </row>
    <row r="151" customFormat="false" ht="15" hidden="false" customHeight="true" outlineLevel="0" collapsed="false">
      <c r="A151" s="9" t="s">
        <v>485</v>
      </c>
      <c r="B151" s="9" t="s">
        <v>486</v>
      </c>
      <c r="C151" s="9" t="s">
        <v>88</v>
      </c>
      <c r="D151" s="9" t="s">
        <v>64</v>
      </c>
      <c r="E151" s="9" t="s">
        <v>65</v>
      </c>
      <c r="F151" s="9" t="s">
        <v>66</v>
      </c>
      <c r="G151" s="9" t="s">
        <v>487</v>
      </c>
      <c r="H151" s="9" t="s">
        <v>52</v>
      </c>
      <c r="I151" s="9" t="n">
        <v>11</v>
      </c>
      <c r="J151" s="9" t="n">
        <v>4659.71</v>
      </c>
      <c r="K151" s="9" t="n">
        <v>0.1</v>
      </c>
      <c r="L151" s="9" t="n">
        <v>371.92</v>
      </c>
    </row>
    <row r="152" customFormat="false" ht="15" hidden="false" customHeight="true" outlineLevel="0" collapsed="false">
      <c r="A152" s="9" t="s">
        <v>488</v>
      </c>
      <c r="B152" s="9" t="s">
        <v>489</v>
      </c>
      <c r="C152" s="9" t="s">
        <v>161</v>
      </c>
      <c r="D152" s="9" t="s">
        <v>71</v>
      </c>
      <c r="E152" s="9" t="s">
        <v>40</v>
      </c>
      <c r="F152" s="9" t="s">
        <v>173</v>
      </c>
      <c r="G152" s="9" t="s">
        <v>490</v>
      </c>
      <c r="H152" s="9" t="s">
        <v>43</v>
      </c>
      <c r="I152" s="9" t="n">
        <v>8</v>
      </c>
      <c r="J152" s="9" t="n">
        <v>4707.52</v>
      </c>
      <c r="K152" s="9" t="n">
        <v>0</v>
      </c>
      <c r="L152" s="9" t="n">
        <v>880.48</v>
      </c>
    </row>
    <row r="153" customFormat="false" ht="15" hidden="false" customHeight="true" outlineLevel="0" collapsed="false">
      <c r="A153" s="9" t="s">
        <v>491</v>
      </c>
      <c r="B153" s="9" t="s">
        <v>492</v>
      </c>
      <c r="C153" s="9" t="s">
        <v>98</v>
      </c>
      <c r="D153" s="9" t="s">
        <v>71</v>
      </c>
      <c r="E153" s="9" t="s">
        <v>65</v>
      </c>
      <c r="F153" s="9" t="s">
        <v>66</v>
      </c>
      <c r="G153" s="9" t="s">
        <v>493</v>
      </c>
      <c r="H153" s="9" t="s">
        <v>43</v>
      </c>
      <c r="I153" s="9" t="n">
        <v>4</v>
      </c>
      <c r="J153" s="9" t="n">
        <v>1302.92</v>
      </c>
      <c r="K153" s="9" t="n">
        <v>0.15</v>
      </c>
      <c r="L153" s="9" t="n">
        <v>281.9</v>
      </c>
    </row>
    <row r="154" customFormat="false" ht="15" hidden="false" customHeight="true" outlineLevel="0" collapsed="false">
      <c r="A154" s="9" t="s">
        <v>494</v>
      </c>
      <c r="B154" s="9" t="s">
        <v>495</v>
      </c>
      <c r="C154" s="9" t="s">
        <v>88</v>
      </c>
      <c r="D154" s="9" t="s">
        <v>64</v>
      </c>
      <c r="E154" s="9" t="s">
        <v>40</v>
      </c>
      <c r="F154" s="9" t="s">
        <v>41</v>
      </c>
      <c r="G154" s="9" t="s">
        <v>496</v>
      </c>
      <c r="H154" s="9" t="s">
        <v>43</v>
      </c>
      <c r="I154" s="9" t="n">
        <v>11</v>
      </c>
      <c r="J154" s="9"/>
      <c r="K154" s="9" t="n">
        <v>0</v>
      </c>
      <c r="L154" s="9" t="n">
        <v>351.76</v>
      </c>
    </row>
    <row r="155" customFormat="false" ht="15" hidden="false" customHeight="true" outlineLevel="0" collapsed="false">
      <c r="A155" s="9" t="s">
        <v>497</v>
      </c>
      <c r="B155" s="9" t="s">
        <v>498</v>
      </c>
      <c r="C155" s="9"/>
      <c r="D155" s="9" t="s">
        <v>64</v>
      </c>
      <c r="E155" s="9" t="s">
        <v>40</v>
      </c>
      <c r="F155" s="9" t="s">
        <v>41</v>
      </c>
      <c r="G155" s="9" t="s">
        <v>499</v>
      </c>
      <c r="H155" s="9" t="s">
        <v>52</v>
      </c>
      <c r="I155" s="9" t="n">
        <v>1</v>
      </c>
      <c r="J155" s="9" t="n">
        <v>353.82</v>
      </c>
      <c r="K155" s="9" t="n">
        <v>0.15</v>
      </c>
      <c r="L155" s="9" t="n">
        <v>20.54</v>
      </c>
    </row>
    <row r="156" customFormat="false" ht="15" hidden="false" customHeight="true" outlineLevel="0" collapsed="false">
      <c r="A156" s="9" t="s">
        <v>500</v>
      </c>
      <c r="B156" s="9" t="s">
        <v>501</v>
      </c>
      <c r="C156" s="9" t="s">
        <v>128</v>
      </c>
      <c r="D156" s="9" t="s">
        <v>71</v>
      </c>
      <c r="E156" s="9" t="s">
        <v>49</v>
      </c>
      <c r="F156" s="9" t="s">
        <v>225</v>
      </c>
      <c r="G156" s="9" t="s">
        <v>502</v>
      </c>
      <c r="H156" s="9" t="s">
        <v>82</v>
      </c>
      <c r="I156" s="9" t="n">
        <v>9</v>
      </c>
      <c r="J156" s="9" t="n">
        <v>3850.38</v>
      </c>
      <c r="K156" s="9" t="n">
        <v>0.15</v>
      </c>
      <c r="L156" s="9" t="n">
        <v>173.14</v>
      </c>
    </row>
    <row r="157" customFormat="false" ht="15" hidden="false" customHeight="true" outlineLevel="0" collapsed="false">
      <c r="A157" s="9" t="s">
        <v>503</v>
      </c>
      <c r="B157" s="9" t="s">
        <v>504</v>
      </c>
      <c r="C157" s="9" t="s">
        <v>358</v>
      </c>
      <c r="D157" s="9" t="s">
        <v>39</v>
      </c>
      <c r="E157" s="9" t="s">
        <v>65</v>
      </c>
      <c r="F157" s="9" t="s">
        <v>76</v>
      </c>
      <c r="G157" s="9" t="s">
        <v>505</v>
      </c>
      <c r="H157" s="9" t="s">
        <v>43</v>
      </c>
      <c r="I157" s="9" t="n">
        <v>5</v>
      </c>
      <c r="J157" s="9" t="n">
        <v>899.15</v>
      </c>
      <c r="K157" s="9" t="n">
        <v>0</v>
      </c>
      <c r="L157" s="9" t="n">
        <v>238.53</v>
      </c>
    </row>
    <row r="158" customFormat="false" ht="15" hidden="false" customHeight="true" outlineLevel="0" collapsed="false">
      <c r="A158" s="9" t="s">
        <v>506</v>
      </c>
      <c r="B158" s="9" t="s">
        <v>507</v>
      </c>
      <c r="C158" s="9" t="s">
        <v>161</v>
      </c>
      <c r="D158" s="9" t="s">
        <v>39</v>
      </c>
      <c r="E158" s="9" t="s">
        <v>49</v>
      </c>
      <c r="F158" s="9" t="s">
        <v>129</v>
      </c>
      <c r="G158" s="9" t="s">
        <v>508</v>
      </c>
      <c r="H158" s="9" t="s">
        <v>52</v>
      </c>
      <c r="I158" s="9" t="n">
        <v>2</v>
      </c>
      <c r="J158" s="9" t="n">
        <v>991.88</v>
      </c>
      <c r="K158" s="9" t="n">
        <v>0.1</v>
      </c>
      <c r="L158" s="9" t="n">
        <v>176.33</v>
      </c>
    </row>
    <row r="159" customFormat="false" ht="15" hidden="false" customHeight="true" outlineLevel="0" collapsed="false">
      <c r="A159" s="9" t="s">
        <v>509</v>
      </c>
      <c r="B159" s="9" t="s">
        <v>510</v>
      </c>
      <c r="C159" s="9" t="s">
        <v>142</v>
      </c>
      <c r="D159" s="9" t="s">
        <v>71</v>
      </c>
      <c r="E159" s="9" t="s">
        <v>65</v>
      </c>
      <c r="F159" s="9" t="s">
        <v>66</v>
      </c>
      <c r="G159" s="9" t="s">
        <v>511</v>
      </c>
      <c r="H159" s="9" t="s">
        <v>43</v>
      </c>
      <c r="I159" s="9" t="n">
        <v>6</v>
      </c>
      <c r="J159" s="9" t="n">
        <v>2472.96</v>
      </c>
      <c r="K159" s="9" t="n">
        <v>0</v>
      </c>
      <c r="L159" s="9" t="n">
        <v>709.17</v>
      </c>
    </row>
    <row r="160" customFormat="false" ht="15" hidden="false" customHeight="true" outlineLevel="0" collapsed="false">
      <c r="A160" s="9" t="s">
        <v>512</v>
      </c>
      <c r="B160" s="9" t="s">
        <v>513</v>
      </c>
      <c r="C160" s="9" t="s">
        <v>172</v>
      </c>
      <c r="D160" s="9" t="s">
        <v>39</v>
      </c>
      <c r="E160" s="9" t="s">
        <v>65</v>
      </c>
      <c r="F160" s="9" t="s">
        <v>66</v>
      </c>
      <c r="G160" s="9" t="s">
        <v>514</v>
      </c>
      <c r="H160" s="9" t="s">
        <v>43</v>
      </c>
      <c r="I160" s="9" t="n">
        <v>7</v>
      </c>
      <c r="J160" s="9" t="n">
        <v>1850.59</v>
      </c>
      <c r="K160" s="9" t="n">
        <v>0</v>
      </c>
      <c r="L160" s="9" t="n">
        <v>364.72</v>
      </c>
    </row>
    <row r="161" customFormat="false" ht="15" hidden="false" customHeight="true" outlineLevel="0" collapsed="false">
      <c r="A161" s="9" t="s">
        <v>515</v>
      </c>
      <c r="B161" s="9" t="s">
        <v>516</v>
      </c>
      <c r="C161" s="9" t="s">
        <v>63</v>
      </c>
      <c r="D161" s="9" t="s">
        <v>71</v>
      </c>
      <c r="E161" s="9" t="s">
        <v>65</v>
      </c>
      <c r="F161" s="9" t="s">
        <v>76</v>
      </c>
      <c r="G161" s="9" t="s">
        <v>517</v>
      </c>
      <c r="H161" s="9" t="s">
        <v>43</v>
      </c>
      <c r="I161" s="9" t="n">
        <v>1</v>
      </c>
      <c r="J161" s="9" t="n">
        <v>305.97</v>
      </c>
      <c r="K161" s="9" t="n">
        <v>0.1</v>
      </c>
      <c r="L161" s="9" t="n">
        <v>28.28</v>
      </c>
    </row>
    <row r="162" customFormat="false" ht="15" hidden="false" customHeight="true" outlineLevel="0" collapsed="false">
      <c r="A162" s="9" t="s">
        <v>518</v>
      </c>
      <c r="B162" s="9" t="s">
        <v>519</v>
      </c>
      <c r="C162" s="9" t="s">
        <v>70</v>
      </c>
      <c r="D162" s="9" t="s">
        <v>71</v>
      </c>
      <c r="E162" s="9" t="s">
        <v>40</v>
      </c>
      <c r="F162" s="9" t="s">
        <v>143</v>
      </c>
      <c r="G162" s="9" t="s">
        <v>520</v>
      </c>
      <c r="H162" s="9" t="s">
        <v>43</v>
      </c>
      <c r="I162" s="9" t="n">
        <v>8</v>
      </c>
      <c r="J162" s="9" t="n">
        <v>619.12</v>
      </c>
      <c r="K162" s="9" t="n">
        <v>0.1</v>
      </c>
      <c r="L162" s="9" t="n">
        <v>123.46</v>
      </c>
    </row>
    <row r="163" customFormat="false" ht="15" hidden="false" customHeight="true" outlineLevel="0" collapsed="false">
      <c r="A163" s="9" t="s">
        <v>521</v>
      </c>
      <c r="B163" s="9" t="s">
        <v>522</v>
      </c>
      <c r="C163" s="9" t="s">
        <v>161</v>
      </c>
      <c r="D163" s="9" t="s">
        <v>64</v>
      </c>
      <c r="E163" s="9" t="s">
        <v>49</v>
      </c>
      <c r="F163" s="9" t="s">
        <v>50</v>
      </c>
      <c r="G163" s="9" t="s">
        <v>523</v>
      </c>
      <c r="H163" s="9" t="s">
        <v>82</v>
      </c>
      <c r="I163" s="9" t="n">
        <v>4</v>
      </c>
      <c r="J163" s="9" t="n">
        <v>1321.8</v>
      </c>
      <c r="K163" s="9" t="n">
        <v>0.2</v>
      </c>
      <c r="L163" s="9" t="n">
        <v>349.65</v>
      </c>
    </row>
    <row r="164" customFormat="false" ht="15" hidden="false" customHeight="true" outlineLevel="0" collapsed="false">
      <c r="A164" s="9" t="s">
        <v>524</v>
      </c>
      <c r="B164" s="9" t="s">
        <v>242</v>
      </c>
      <c r="C164" s="9" t="s">
        <v>47</v>
      </c>
      <c r="D164" s="9" t="s">
        <v>48</v>
      </c>
      <c r="E164" s="9" t="s">
        <v>40</v>
      </c>
      <c r="F164" s="9" t="s">
        <v>173</v>
      </c>
      <c r="G164" s="9" t="s">
        <v>525</v>
      </c>
      <c r="H164" s="9" t="s">
        <v>82</v>
      </c>
      <c r="I164" s="9" t="n">
        <v>11</v>
      </c>
      <c r="J164" s="9" t="n">
        <v>3675.76</v>
      </c>
      <c r="K164" s="9" t="n">
        <v>0.2</v>
      </c>
      <c r="L164" s="9" t="n">
        <v>990.97</v>
      </c>
    </row>
    <row r="165" customFormat="false" ht="15" hidden="false" customHeight="true" outlineLevel="0" collapsed="false">
      <c r="A165" s="9" t="s">
        <v>526</v>
      </c>
      <c r="B165" s="9" t="s">
        <v>527</v>
      </c>
      <c r="C165" s="9" t="s">
        <v>142</v>
      </c>
      <c r="D165" s="9" t="s">
        <v>39</v>
      </c>
      <c r="E165" s="9" t="s">
        <v>49</v>
      </c>
      <c r="F165" s="9" t="s">
        <v>50</v>
      </c>
      <c r="G165" s="9" t="s">
        <v>528</v>
      </c>
      <c r="H165" s="9" t="s">
        <v>43</v>
      </c>
      <c r="I165" s="9" t="n">
        <v>5</v>
      </c>
      <c r="J165" s="9" t="n">
        <v>2191.9</v>
      </c>
      <c r="K165" s="9" t="n">
        <v>0.2</v>
      </c>
      <c r="L165" s="9" t="n">
        <v>595.01</v>
      </c>
    </row>
    <row r="166" customFormat="false" ht="15" hidden="false" customHeight="true" outlineLevel="0" collapsed="false">
      <c r="A166" s="9" t="s">
        <v>529</v>
      </c>
      <c r="B166" s="9" t="s">
        <v>432</v>
      </c>
      <c r="C166" s="9" t="s">
        <v>142</v>
      </c>
      <c r="D166" s="9" t="s">
        <v>71</v>
      </c>
      <c r="E166" s="9" t="s">
        <v>65</v>
      </c>
      <c r="F166" s="9" t="s">
        <v>80</v>
      </c>
      <c r="G166" s="9" t="s">
        <v>530</v>
      </c>
      <c r="H166" s="9" t="s">
        <v>43</v>
      </c>
      <c r="I166" s="9" t="n">
        <v>6</v>
      </c>
      <c r="J166" s="9" t="n">
        <v>3081.72</v>
      </c>
      <c r="K166" s="9" t="n">
        <v>0.3</v>
      </c>
      <c r="L166" s="9" t="n">
        <v>453.2</v>
      </c>
    </row>
    <row r="167" customFormat="false" ht="15" hidden="false" customHeight="true" outlineLevel="0" collapsed="false">
      <c r="A167" s="9" t="s">
        <v>531</v>
      </c>
      <c r="B167" s="9" t="s">
        <v>532</v>
      </c>
      <c r="C167" s="9" t="s">
        <v>102</v>
      </c>
      <c r="D167" s="9" t="s">
        <v>71</v>
      </c>
      <c r="E167" s="9" t="s">
        <v>40</v>
      </c>
      <c r="F167" s="9" t="s">
        <v>41</v>
      </c>
      <c r="G167" s="9" t="s">
        <v>533</v>
      </c>
      <c r="H167" s="9" t="s">
        <v>43</v>
      </c>
      <c r="I167" s="9" t="n">
        <v>9</v>
      </c>
      <c r="J167" s="9" t="n">
        <v>2686.41</v>
      </c>
      <c r="K167" s="9" t="n">
        <v>0</v>
      </c>
      <c r="L167" s="9" t="n">
        <v>355.62</v>
      </c>
    </row>
    <row r="168" customFormat="false" ht="15" hidden="false" customHeight="true" outlineLevel="0" collapsed="false">
      <c r="A168" s="9" t="s">
        <v>154</v>
      </c>
      <c r="B168" s="9" t="s">
        <v>115</v>
      </c>
      <c r="C168" s="9" t="s">
        <v>63</v>
      </c>
      <c r="D168" s="9" t="s">
        <v>48</v>
      </c>
      <c r="E168" s="9" t="s">
        <v>65</v>
      </c>
      <c r="F168" s="9" t="s">
        <v>66</v>
      </c>
      <c r="G168" s="9" t="s">
        <v>155</v>
      </c>
      <c r="H168" s="9" t="s">
        <v>82</v>
      </c>
      <c r="I168" s="9" t="n">
        <v>11</v>
      </c>
      <c r="J168" s="9" t="n">
        <v>4687.76</v>
      </c>
      <c r="K168" s="9" t="n">
        <v>0.2</v>
      </c>
      <c r="L168" s="9" t="n">
        <v>1309.38</v>
      </c>
    </row>
    <row r="169" customFormat="false" ht="15" hidden="false" customHeight="true" outlineLevel="0" collapsed="false">
      <c r="A169" s="9" t="s">
        <v>534</v>
      </c>
      <c r="B169" s="9" t="s">
        <v>535</v>
      </c>
      <c r="C169" s="9" t="s">
        <v>113</v>
      </c>
      <c r="D169" s="9" t="s">
        <v>64</v>
      </c>
      <c r="E169" s="9" t="s">
        <v>49</v>
      </c>
      <c r="F169" s="9" t="s">
        <v>225</v>
      </c>
      <c r="G169" s="9" t="s">
        <v>536</v>
      </c>
      <c r="H169" s="9" t="s">
        <v>52</v>
      </c>
      <c r="I169" s="9" t="n">
        <v>5</v>
      </c>
      <c r="J169" s="9" t="n">
        <v>2544.95</v>
      </c>
      <c r="K169" s="9" t="n">
        <v>0</v>
      </c>
      <c r="L169" s="9" t="n">
        <v>514.86</v>
      </c>
    </row>
    <row r="170" customFormat="false" ht="15" hidden="false" customHeight="true" outlineLevel="0" collapsed="false">
      <c r="A170" s="9" t="s">
        <v>537</v>
      </c>
      <c r="B170" s="9" t="s">
        <v>538</v>
      </c>
      <c r="C170" s="9" t="s">
        <v>75</v>
      </c>
      <c r="D170" s="9" t="s">
        <v>71</v>
      </c>
      <c r="E170" s="9" t="s">
        <v>65</v>
      </c>
      <c r="F170" s="9" t="s">
        <v>109</v>
      </c>
      <c r="G170" s="9" t="s">
        <v>539</v>
      </c>
      <c r="H170" s="9" t="s">
        <v>82</v>
      </c>
      <c r="I170" s="9" t="n">
        <v>2</v>
      </c>
      <c r="J170" s="9" t="n">
        <v>1117.04</v>
      </c>
      <c r="K170" s="9" t="n">
        <v>0.3</v>
      </c>
      <c r="L170" s="9" t="n">
        <v>228.35</v>
      </c>
    </row>
    <row r="171" customFormat="false" ht="15" hidden="false" customHeight="true" outlineLevel="0" collapsed="false">
      <c r="A171" s="9" t="s">
        <v>193</v>
      </c>
      <c r="B171" s="9" t="s">
        <v>194</v>
      </c>
      <c r="C171" s="9" t="s">
        <v>128</v>
      </c>
      <c r="D171" s="9" t="s">
        <v>48</v>
      </c>
      <c r="E171" s="9" t="s">
        <v>49</v>
      </c>
      <c r="F171" s="9" t="s">
        <v>129</v>
      </c>
      <c r="G171" s="9" t="s">
        <v>195</v>
      </c>
      <c r="H171" s="9" t="s">
        <v>82</v>
      </c>
      <c r="I171" s="9" t="n">
        <v>3</v>
      </c>
      <c r="J171" s="9" t="n">
        <v>1425.33</v>
      </c>
      <c r="K171" s="9" t="n">
        <v>0</v>
      </c>
      <c r="L171" s="9" t="n">
        <v>298.26</v>
      </c>
    </row>
    <row r="172" customFormat="false" ht="15" hidden="false" customHeight="true" outlineLevel="0" collapsed="false">
      <c r="A172" s="9" t="s">
        <v>540</v>
      </c>
      <c r="B172" s="9" t="s">
        <v>541</v>
      </c>
      <c r="C172" s="9" t="s">
        <v>63</v>
      </c>
      <c r="D172" s="9" t="s">
        <v>71</v>
      </c>
      <c r="E172" s="9" t="s">
        <v>65</v>
      </c>
      <c r="F172" s="9" t="s">
        <v>109</v>
      </c>
      <c r="G172" s="9" t="s">
        <v>542</v>
      </c>
      <c r="H172" s="9" t="s">
        <v>82</v>
      </c>
      <c r="I172" s="9" t="n">
        <v>5</v>
      </c>
      <c r="J172" s="9" t="n">
        <v>1346.7</v>
      </c>
      <c r="K172" s="9" t="n">
        <v>0.1</v>
      </c>
      <c r="L172" s="9" t="n">
        <v>61.78</v>
      </c>
    </row>
    <row r="173" customFormat="false" ht="15" hidden="false" customHeight="true" outlineLevel="0" collapsed="false">
      <c r="A173" s="9" t="s">
        <v>543</v>
      </c>
      <c r="B173" s="9" t="s">
        <v>544</v>
      </c>
      <c r="C173" s="9" t="s">
        <v>88</v>
      </c>
      <c r="D173" s="9" t="s">
        <v>64</v>
      </c>
      <c r="E173" s="9" t="s">
        <v>49</v>
      </c>
      <c r="F173" s="9" t="s">
        <v>225</v>
      </c>
      <c r="G173" s="9" t="s">
        <v>545</v>
      </c>
      <c r="H173" s="9" t="s">
        <v>82</v>
      </c>
      <c r="I173" s="9" t="n">
        <v>4</v>
      </c>
      <c r="J173" s="9" t="n">
        <v>344</v>
      </c>
      <c r="K173" s="9" t="n">
        <v>0</v>
      </c>
      <c r="L173" s="9" t="n">
        <v>98.94</v>
      </c>
    </row>
    <row r="174" customFormat="false" ht="15" hidden="false" customHeight="true" outlineLevel="0" collapsed="false">
      <c r="A174" s="9" t="s">
        <v>546</v>
      </c>
      <c r="B174" s="9" t="s">
        <v>354</v>
      </c>
      <c r="C174" s="9" t="s">
        <v>63</v>
      </c>
      <c r="D174" s="9" t="s">
        <v>71</v>
      </c>
      <c r="E174" s="9" t="s">
        <v>65</v>
      </c>
      <c r="F174" s="9" t="s">
        <v>66</v>
      </c>
      <c r="G174" s="9" t="s">
        <v>547</v>
      </c>
      <c r="H174" s="9" t="s">
        <v>43</v>
      </c>
      <c r="I174" s="9" t="n">
        <v>8</v>
      </c>
      <c r="J174" s="9" t="n">
        <v>4626.32</v>
      </c>
      <c r="K174" s="9" t="n">
        <v>0</v>
      </c>
      <c r="L174" s="9" t="n">
        <v>1278</v>
      </c>
    </row>
    <row r="175" customFormat="false" ht="15" hidden="false" customHeight="true" outlineLevel="0" collapsed="false">
      <c r="A175" s="9" t="s">
        <v>548</v>
      </c>
      <c r="B175" s="9" t="s">
        <v>549</v>
      </c>
      <c r="C175" s="9" t="s">
        <v>38</v>
      </c>
      <c r="D175" s="9" t="s">
        <v>39</v>
      </c>
      <c r="E175" s="9" t="s">
        <v>40</v>
      </c>
      <c r="F175" s="9" t="s">
        <v>41</v>
      </c>
      <c r="G175" s="9" t="s">
        <v>550</v>
      </c>
      <c r="H175" s="9" t="s">
        <v>82</v>
      </c>
      <c r="I175" s="9" t="n">
        <v>11</v>
      </c>
      <c r="J175" s="9" t="n">
        <v>4569.07</v>
      </c>
      <c r="K175" s="9" t="n">
        <v>0</v>
      </c>
      <c r="L175" s="9" t="n">
        <v>1595.65</v>
      </c>
    </row>
    <row r="176" customFormat="false" ht="15" hidden="false" customHeight="true" outlineLevel="0" collapsed="false">
      <c r="A176" s="9" t="s">
        <v>551</v>
      </c>
      <c r="B176" s="9" t="s">
        <v>132</v>
      </c>
      <c r="C176" s="9" t="s">
        <v>98</v>
      </c>
      <c r="D176" s="9" t="s">
        <v>71</v>
      </c>
      <c r="E176" s="9" t="s">
        <v>40</v>
      </c>
      <c r="F176" s="9" t="s">
        <v>143</v>
      </c>
      <c r="G176" s="9" t="s">
        <v>552</v>
      </c>
      <c r="H176" s="9" t="s">
        <v>43</v>
      </c>
      <c r="I176" s="9" t="n">
        <v>6</v>
      </c>
      <c r="J176" s="9" t="n">
        <v>2557.02</v>
      </c>
      <c r="K176" s="9" t="n">
        <v>0</v>
      </c>
      <c r="L176" s="9" t="n">
        <v>363.06</v>
      </c>
    </row>
    <row r="177" customFormat="false" ht="15" hidden="false" customHeight="true" outlineLevel="0" collapsed="false">
      <c r="A177" s="9" t="s">
        <v>553</v>
      </c>
      <c r="B177" s="9" t="s">
        <v>554</v>
      </c>
      <c r="C177" s="9" t="s">
        <v>358</v>
      </c>
      <c r="D177" s="9" t="s">
        <v>64</v>
      </c>
      <c r="E177" s="9" t="s">
        <v>65</v>
      </c>
      <c r="F177" s="9" t="s">
        <v>66</v>
      </c>
      <c r="G177" s="9" t="s">
        <v>555</v>
      </c>
      <c r="H177" s="9" t="s">
        <v>52</v>
      </c>
      <c r="I177" s="9" t="n">
        <v>9</v>
      </c>
      <c r="J177" s="9" t="n">
        <v>4789.98</v>
      </c>
      <c r="K177" s="9" t="n">
        <v>0.1</v>
      </c>
      <c r="L177" s="9" t="n">
        <v>1475.01</v>
      </c>
    </row>
    <row r="178" customFormat="false" ht="15" hidden="false" customHeight="true" outlineLevel="0" collapsed="false">
      <c r="A178" s="9" t="s">
        <v>556</v>
      </c>
      <c r="B178" s="9" t="s">
        <v>557</v>
      </c>
      <c r="C178" s="9" t="s">
        <v>38</v>
      </c>
      <c r="D178" s="9" t="s">
        <v>48</v>
      </c>
      <c r="E178" s="9" t="s">
        <v>49</v>
      </c>
      <c r="F178" s="9" t="s">
        <v>225</v>
      </c>
      <c r="G178" s="9" t="s">
        <v>558</v>
      </c>
      <c r="H178" s="9" t="s">
        <v>52</v>
      </c>
      <c r="I178" s="9" t="n">
        <v>11</v>
      </c>
      <c r="J178" s="9" t="n">
        <v>4280.1</v>
      </c>
      <c r="K178" s="9" t="n">
        <v>0</v>
      </c>
      <c r="L178" s="9" t="n">
        <v>278.95</v>
      </c>
    </row>
    <row r="179" customFormat="false" ht="15" hidden="false" customHeight="true" outlineLevel="0" collapsed="false">
      <c r="A179" s="9" t="s">
        <v>329</v>
      </c>
      <c r="B179" s="9" t="s">
        <v>146</v>
      </c>
      <c r="C179" s="9" t="s">
        <v>102</v>
      </c>
      <c r="D179" s="9" t="s">
        <v>71</v>
      </c>
      <c r="E179" s="9" t="s">
        <v>49</v>
      </c>
      <c r="F179" s="9" t="s">
        <v>129</v>
      </c>
      <c r="G179" s="9" t="s">
        <v>330</v>
      </c>
      <c r="H179" s="9" t="s">
        <v>52</v>
      </c>
      <c r="I179" s="9" t="n">
        <v>7</v>
      </c>
      <c r="J179" s="9" t="n">
        <v>640.92</v>
      </c>
      <c r="K179" s="9" t="n">
        <v>0.2</v>
      </c>
      <c r="L179" s="9" t="n">
        <v>71.78</v>
      </c>
    </row>
    <row r="180" customFormat="false" ht="15" hidden="false" customHeight="true" outlineLevel="0" collapsed="false">
      <c r="A180" s="9" t="s">
        <v>559</v>
      </c>
      <c r="B180" s="9" t="s">
        <v>560</v>
      </c>
      <c r="C180" s="9" t="s">
        <v>161</v>
      </c>
      <c r="D180" s="9" t="s">
        <v>48</v>
      </c>
      <c r="E180" s="9" t="s">
        <v>40</v>
      </c>
      <c r="F180" s="9" t="s">
        <v>41</v>
      </c>
      <c r="G180" s="9" t="s">
        <v>561</v>
      </c>
      <c r="H180" s="9" t="s">
        <v>52</v>
      </c>
      <c r="I180" s="9" t="n">
        <v>3</v>
      </c>
      <c r="J180" s="9" t="n">
        <v>1270.23</v>
      </c>
      <c r="K180" s="9" t="n">
        <v>0</v>
      </c>
      <c r="L180" s="9" t="n">
        <v>169.4</v>
      </c>
    </row>
    <row r="181" customFormat="false" ht="15" hidden="false" customHeight="true" outlineLevel="0" collapsed="false">
      <c r="A181" s="9" t="s">
        <v>562</v>
      </c>
      <c r="B181" s="9" t="s">
        <v>563</v>
      </c>
      <c r="C181" s="9" t="s">
        <v>58</v>
      </c>
      <c r="D181" s="9" t="s">
        <v>71</v>
      </c>
      <c r="E181" s="9" t="s">
        <v>49</v>
      </c>
      <c r="F181" s="9" t="s">
        <v>258</v>
      </c>
      <c r="G181" s="9" t="s">
        <v>564</v>
      </c>
      <c r="H181" s="9" t="s">
        <v>52</v>
      </c>
      <c r="I181" s="9" t="n">
        <v>1</v>
      </c>
      <c r="J181" s="9" t="n">
        <v>48.28</v>
      </c>
      <c r="K181" s="9" t="n">
        <v>0.3</v>
      </c>
      <c r="L181" s="9" t="n">
        <v>4.6</v>
      </c>
    </row>
    <row r="182" customFormat="false" ht="15" hidden="false" customHeight="true" outlineLevel="0" collapsed="false">
      <c r="A182" s="9" t="s">
        <v>565</v>
      </c>
      <c r="B182" s="9" t="s">
        <v>566</v>
      </c>
      <c r="C182" s="9" t="s">
        <v>58</v>
      </c>
      <c r="D182" s="9" t="s">
        <v>48</v>
      </c>
      <c r="E182" s="9" t="s">
        <v>40</v>
      </c>
      <c r="F182" s="9" t="s">
        <v>173</v>
      </c>
      <c r="G182" s="9" t="s">
        <v>567</v>
      </c>
      <c r="H182" s="9" t="s">
        <v>82</v>
      </c>
      <c r="I182" s="9" t="n">
        <v>5</v>
      </c>
      <c r="J182" s="9" t="n">
        <v>2591</v>
      </c>
      <c r="K182" s="9" t="n">
        <v>0.1</v>
      </c>
      <c r="L182" s="9" t="n">
        <v>330.23</v>
      </c>
    </row>
    <row r="183" customFormat="false" ht="15" hidden="false" customHeight="true" outlineLevel="0" collapsed="false">
      <c r="A183" s="9" t="s">
        <v>568</v>
      </c>
      <c r="B183" s="9" t="s">
        <v>218</v>
      </c>
      <c r="C183" s="9" t="s">
        <v>113</v>
      </c>
      <c r="D183" s="9" t="s">
        <v>71</v>
      </c>
      <c r="E183" s="9" t="s">
        <v>65</v>
      </c>
      <c r="F183" s="9" t="s">
        <v>80</v>
      </c>
      <c r="G183" s="9" t="s">
        <v>569</v>
      </c>
      <c r="H183" s="9" t="s">
        <v>52</v>
      </c>
      <c r="I183" s="9" t="n">
        <v>10</v>
      </c>
      <c r="J183" s="9" t="n">
        <v>5746.3</v>
      </c>
      <c r="K183" s="9" t="n">
        <v>0.15</v>
      </c>
      <c r="L183" s="9" t="n">
        <v>727.25</v>
      </c>
    </row>
    <row r="184" customFormat="false" ht="15" hidden="false" customHeight="true" outlineLevel="0" collapsed="false">
      <c r="A184" s="9" t="s">
        <v>570</v>
      </c>
      <c r="B184" s="9" t="s">
        <v>571</v>
      </c>
      <c r="C184" s="9" t="s">
        <v>58</v>
      </c>
      <c r="D184" s="9" t="s">
        <v>71</v>
      </c>
      <c r="E184" s="9" t="s">
        <v>49</v>
      </c>
      <c r="F184" s="9" t="s">
        <v>50</v>
      </c>
      <c r="G184" s="9" t="s">
        <v>572</v>
      </c>
      <c r="H184" s="9" t="s">
        <v>43</v>
      </c>
      <c r="I184" s="9" t="n">
        <v>10</v>
      </c>
      <c r="J184" s="9" t="n">
        <v>5322.8</v>
      </c>
      <c r="K184" s="9" t="n">
        <v>0</v>
      </c>
      <c r="L184" s="9" t="n">
        <v>760.03</v>
      </c>
    </row>
    <row r="185" customFormat="false" ht="15" hidden="false" customHeight="true" outlineLevel="0" collapsed="false">
      <c r="A185" s="9" t="s">
        <v>573</v>
      </c>
      <c r="B185" s="9" t="s">
        <v>574</v>
      </c>
      <c r="C185" s="9" t="s">
        <v>88</v>
      </c>
      <c r="D185" s="9" t="s">
        <v>48</v>
      </c>
      <c r="E185" s="9" t="s">
        <v>40</v>
      </c>
      <c r="F185" s="9" t="s">
        <v>173</v>
      </c>
      <c r="G185" s="9" t="s">
        <v>575</v>
      </c>
      <c r="H185" s="9" t="s">
        <v>82</v>
      </c>
      <c r="I185" s="9" t="n">
        <v>8</v>
      </c>
      <c r="J185" s="9" t="n">
        <v>3691.2</v>
      </c>
      <c r="K185" s="9" t="n">
        <v>0.15</v>
      </c>
      <c r="L185" s="9" t="n">
        <v>286.48</v>
      </c>
    </row>
    <row r="186" customFormat="false" ht="15" hidden="false" customHeight="true" outlineLevel="0" collapsed="false">
      <c r="A186" s="9" t="s">
        <v>576</v>
      </c>
      <c r="B186" s="9" t="s">
        <v>577</v>
      </c>
      <c r="C186" s="9" t="s">
        <v>358</v>
      </c>
      <c r="D186" s="9" t="s">
        <v>71</v>
      </c>
      <c r="E186" s="9" t="s">
        <v>49</v>
      </c>
      <c r="F186" s="9" t="s">
        <v>225</v>
      </c>
      <c r="G186" s="9" t="s">
        <v>578</v>
      </c>
      <c r="H186" s="9" t="s">
        <v>52</v>
      </c>
      <c r="I186" s="9" t="n">
        <v>3</v>
      </c>
      <c r="J186" s="9" t="n">
        <v>286.5</v>
      </c>
      <c r="K186" s="9" t="n">
        <v>0</v>
      </c>
      <c r="L186" s="9" t="n">
        <v>93.18</v>
      </c>
    </row>
    <row r="187" customFormat="false" ht="15" hidden="false" customHeight="true" outlineLevel="0" collapsed="false">
      <c r="A187" s="9" t="s">
        <v>579</v>
      </c>
      <c r="B187" s="9" t="s">
        <v>580</v>
      </c>
      <c r="C187" s="9" t="s">
        <v>128</v>
      </c>
      <c r="D187" s="9" t="s">
        <v>64</v>
      </c>
      <c r="E187" s="9" t="s">
        <v>40</v>
      </c>
      <c r="F187" s="9" t="s">
        <v>59</v>
      </c>
      <c r="G187" s="9" t="s">
        <v>581</v>
      </c>
      <c r="H187" s="9" t="s">
        <v>52</v>
      </c>
      <c r="I187" s="9" t="n">
        <v>11</v>
      </c>
      <c r="J187" s="9" t="n">
        <v>690.03</v>
      </c>
      <c r="K187" s="9" t="n">
        <v>0.1</v>
      </c>
      <c r="L187" s="9" t="n">
        <v>154.38</v>
      </c>
    </row>
    <row r="188" customFormat="false" ht="15" hidden="false" customHeight="true" outlineLevel="0" collapsed="false">
      <c r="A188" s="9" t="s">
        <v>582</v>
      </c>
      <c r="B188" s="9" t="s">
        <v>583</v>
      </c>
      <c r="C188" s="9" t="s">
        <v>165</v>
      </c>
      <c r="D188" s="9" t="s">
        <v>64</v>
      </c>
      <c r="E188" s="9" t="s">
        <v>40</v>
      </c>
      <c r="F188" s="9" t="s">
        <v>59</v>
      </c>
      <c r="G188" s="9" t="s">
        <v>584</v>
      </c>
      <c r="H188" s="9" t="s">
        <v>52</v>
      </c>
      <c r="I188" s="9" t="n">
        <v>4</v>
      </c>
      <c r="J188" s="9" t="n">
        <v>337.16</v>
      </c>
      <c r="K188" s="9" t="n">
        <v>0.3</v>
      </c>
      <c r="L188" s="9" t="n">
        <v>41.27</v>
      </c>
    </row>
    <row r="189" customFormat="false" ht="15" hidden="false" customHeight="true" outlineLevel="0" collapsed="false">
      <c r="A189" s="9" t="s">
        <v>347</v>
      </c>
      <c r="B189" s="9" t="s">
        <v>348</v>
      </c>
      <c r="C189" s="9" t="s">
        <v>88</v>
      </c>
      <c r="D189" s="9" t="s">
        <v>39</v>
      </c>
      <c r="E189" s="9" t="s">
        <v>40</v>
      </c>
      <c r="F189" s="9" t="s">
        <v>173</v>
      </c>
      <c r="G189" s="9" t="s">
        <v>349</v>
      </c>
      <c r="H189" s="9" t="s">
        <v>82</v>
      </c>
      <c r="I189" s="9" t="n">
        <v>7</v>
      </c>
      <c r="J189" s="9" t="n">
        <v>626.92</v>
      </c>
      <c r="K189" s="9" t="n">
        <v>0</v>
      </c>
      <c r="L189" s="9" t="n">
        <v>99.93</v>
      </c>
    </row>
    <row r="190" customFormat="false" ht="15" hidden="false" customHeight="true" outlineLevel="0" collapsed="false">
      <c r="A190" s="9" t="s">
        <v>585</v>
      </c>
      <c r="B190" s="9" t="s">
        <v>586</v>
      </c>
      <c r="C190" s="9" t="s">
        <v>358</v>
      </c>
      <c r="D190" s="9" t="s">
        <v>64</v>
      </c>
      <c r="E190" s="9" t="s">
        <v>40</v>
      </c>
      <c r="F190" s="9" t="s">
        <v>143</v>
      </c>
      <c r="G190" s="9" t="s">
        <v>587</v>
      </c>
      <c r="H190" s="9" t="s">
        <v>82</v>
      </c>
      <c r="I190" s="9" t="n">
        <v>11</v>
      </c>
      <c r="J190" s="9" t="n">
        <v>3431.78</v>
      </c>
      <c r="K190" s="9" t="n">
        <v>0</v>
      </c>
      <c r="L190" s="9" t="n">
        <v>328.94</v>
      </c>
    </row>
    <row r="191" customFormat="false" ht="15" hidden="false" customHeight="true" outlineLevel="0" collapsed="false">
      <c r="A191" s="9" t="s">
        <v>588</v>
      </c>
      <c r="B191" s="9" t="s">
        <v>589</v>
      </c>
      <c r="C191" s="9" t="s">
        <v>142</v>
      </c>
      <c r="D191" s="9" t="s">
        <v>48</v>
      </c>
      <c r="E191" s="9" t="s">
        <v>49</v>
      </c>
      <c r="F191" s="9" t="s">
        <v>207</v>
      </c>
      <c r="G191" s="9" t="s">
        <v>590</v>
      </c>
      <c r="H191" s="9" t="s">
        <v>82</v>
      </c>
      <c r="I191" s="9" t="n">
        <v>8</v>
      </c>
      <c r="J191" s="9" t="n">
        <v>4635.36</v>
      </c>
      <c r="K191" s="9" t="n">
        <v>0</v>
      </c>
      <c r="L191" s="9" t="n">
        <v>930.26</v>
      </c>
    </row>
    <row r="192" customFormat="false" ht="15" hidden="false" customHeight="true" outlineLevel="0" collapsed="false">
      <c r="A192" s="9" t="s">
        <v>591</v>
      </c>
      <c r="B192" s="9" t="s">
        <v>592</v>
      </c>
      <c r="C192" s="9" t="s">
        <v>128</v>
      </c>
      <c r="D192" s="9" t="s">
        <v>48</v>
      </c>
      <c r="E192" s="9" t="s">
        <v>49</v>
      </c>
      <c r="F192" s="9" t="s">
        <v>258</v>
      </c>
      <c r="G192" s="9" t="s">
        <v>593</v>
      </c>
      <c r="H192" s="9" t="s">
        <v>82</v>
      </c>
      <c r="I192" s="9" t="n">
        <v>10</v>
      </c>
      <c r="J192" s="9" t="n">
        <v>959.6</v>
      </c>
      <c r="K192" s="9" t="n">
        <v>0</v>
      </c>
      <c r="L192" s="9" t="n">
        <v>63</v>
      </c>
    </row>
    <row r="193" customFormat="false" ht="15" hidden="false" customHeight="true" outlineLevel="0" collapsed="false">
      <c r="A193" s="9" t="s">
        <v>594</v>
      </c>
      <c r="B193" s="9" t="s">
        <v>595</v>
      </c>
      <c r="C193" s="9" t="s">
        <v>113</v>
      </c>
      <c r="D193" s="9" t="s">
        <v>48</v>
      </c>
      <c r="E193" s="9" t="s">
        <v>65</v>
      </c>
      <c r="F193" s="9" t="s">
        <v>109</v>
      </c>
      <c r="G193" s="9" t="s">
        <v>596</v>
      </c>
      <c r="H193" s="9" t="s">
        <v>82</v>
      </c>
      <c r="I193" s="9" t="n">
        <v>3</v>
      </c>
      <c r="J193" s="9" t="n">
        <v>133.26</v>
      </c>
      <c r="K193" s="9" t="n">
        <v>0.1</v>
      </c>
      <c r="L193" s="9" t="n">
        <v>17.77</v>
      </c>
    </row>
    <row r="194" customFormat="false" ht="15" hidden="false" customHeight="true" outlineLevel="0" collapsed="false">
      <c r="A194" s="9" t="s">
        <v>86</v>
      </c>
      <c r="B194" s="9" t="s">
        <v>87</v>
      </c>
      <c r="C194" s="9" t="s">
        <v>88</v>
      </c>
      <c r="D194" s="9" t="s">
        <v>48</v>
      </c>
      <c r="E194" s="9" t="s">
        <v>65</v>
      </c>
      <c r="F194" s="9" t="s">
        <v>66</v>
      </c>
      <c r="G194" s="9" t="s">
        <v>89</v>
      </c>
      <c r="H194" s="9" t="s">
        <v>82</v>
      </c>
      <c r="I194" s="9" t="n">
        <v>9</v>
      </c>
      <c r="J194" s="9" t="n">
        <v>3544.29</v>
      </c>
      <c r="K194" s="9" t="n">
        <v>0</v>
      </c>
      <c r="L194" s="9" t="n">
        <v>1080.56</v>
      </c>
    </row>
    <row r="195" customFormat="false" ht="15" hidden="false" customHeight="true" outlineLevel="0" collapsed="false">
      <c r="A195" s="9" t="s">
        <v>597</v>
      </c>
      <c r="B195" s="9" t="s">
        <v>598</v>
      </c>
      <c r="C195" s="9" t="s">
        <v>58</v>
      </c>
      <c r="D195" s="9" t="s">
        <v>71</v>
      </c>
      <c r="E195" s="9" t="s">
        <v>49</v>
      </c>
      <c r="F195" s="9" t="s">
        <v>258</v>
      </c>
      <c r="G195" s="9" t="s">
        <v>283</v>
      </c>
      <c r="H195" s="9" t="s">
        <v>82</v>
      </c>
      <c r="I195" s="9" t="n">
        <v>10</v>
      </c>
      <c r="J195" s="9" t="n">
        <v>2666.7</v>
      </c>
      <c r="K195" s="9" t="n">
        <v>0.3</v>
      </c>
      <c r="L195" s="9" t="n">
        <v>486.34</v>
      </c>
    </row>
  </sheetData>
  <mergeCells count="2">
    <mergeCell ref="A1:L1"/>
    <mergeCell ref="N4:R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12"/>
    <col collapsed="false" customWidth="true" hidden="false" outlineLevel="0" max="3" min="3" style="1" width="16"/>
    <col collapsed="false" customWidth="true" hidden="false" outlineLevel="0" max="4" min="4" style="1" width="9"/>
    <col collapsed="false" customWidth="true" hidden="false" outlineLevel="0" max="6" min="5" style="1" width="14"/>
    <col collapsed="false" customWidth="true" hidden="false" outlineLevel="0" max="7" min="7" style="1" width="20"/>
    <col collapsed="false" customWidth="true" hidden="false" outlineLevel="0" max="8" min="8" style="1" width="11"/>
    <col collapsed="false" customWidth="true" hidden="false" outlineLevel="0" max="10" min="9" style="1" width="10"/>
    <col collapsed="false" customWidth="true" hidden="false" outlineLevel="0" max="12" min="11" style="1" width="9"/>
    <col collapsed="false" customWidth="true" hidden="false" outlineLevel="0" max="13" min="13" style="1" width="7"/>
  </cols>
  <sheetData>
    <row r="1" customFormat="false" ht="17.25" hidden="false" customHeight="true" outlineLevel="0" collapsed="false">
      <c r="A1" s="6" t="s">
        <v>599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customFormat="false" ht="15" hidden="false" customHeight="true" outlineLevel="0" collapsed="false">
      <c r="A2" s="11" t="s">
        <v>600</v>
      </c>
    </row>
    <row r="3" customFormat="false" ht="15" hidden="false" customHeight="true" outlineLevel="0" collapsed="false">
      <c r="A3" s="7" t="s">
        <v>23</v>
      </c>
      <c r="B3" s="7" t="s">
        <v>24</v>
      </c>
      <c r="C3" s="7" t="s">
        <v>25</v>
      </c>
      <c r="D3" s="7" t="s">
        <v>26</v>
      </c>
      <c r="E3" s="7" t="s">
        <v>27</v>
      </c>
      <c r="F3" s="7" t="s">
        <v>28</v>
      </c>
      <c r="G3" s="7" t="s">
        <v>29</v>
      </c>
      <c r="H3" s="7" t="s">
        <v>30</v>
      </c>
      <c r="I3" s="7" t="s">
        <v>31</v>
      </c>
      <c r="J3" s="7" t="s">
        <v>32</v>
      </c>
      <c r="K3" s="7" t="s">
        <v>33</v>
      </c>
      <c r="L3" s="7" t="s">
        <v>34</v>
      </c>
      <c r="M3" s="7" t="s">
        <v>601</v>
      </c>
      <c r="O3" s="12" t="s">
        <v>602</v>
      </c>
    </row>
    <row r="4" customFormat="false" ht="15" hidden="false" customHeight="true" outlineLevel="0" collapsed="false">
      <c r="A4" s="9" t="s">
        <v>104</v>
      </c>
      <c r="B4" s="9" t="s">
        <v>105</v>
      </c>
      <c r="C4" s="9" t="s">
        <v>102</v>
      </c>
      <c r="D4" s="9" t="s">
        <v>71</v>
      </c>
      <c r="E4" s="9" t="s">
        <v>40</v>
      </c>
      <c r="F4" s="9" t="s">
        <v>59</v>
      </c>
      <c r="G4" s="9" t="s">
        <v>106</v>
      </c>
      <c r="H4" s="9" t="s">
        <v>52</v>
      </c>
      <c r="I4" s="9" t="n">
        <v>3</v>
      </c>
      <c r="J4" s="9" t="n">
        <v>1337.52</v>
      </c>
      <c r="K4" s="9" t="n">
        <v>0.2</v>
      </c>
      <c r="L4" s="9" t="n">
        <v>291.26</v>
      </c>
      <c r="M4" s="9" t="n">
        <v>2024</v>
      </c>
      <c r="O4" s="13" t="s">
        <v>603</v>
      </c>
      <c r="P4" s="13"/>
      <c r="Q4" s="13"/>
      <c r="R4" s="13"/>
      <c r="S4" s="13"/>
      <c r="T4" s="13"/>
    </row>
    <row r="5" customFormat="false" ht="15" hidden="false" customHeight="true" outlineLevel="0" collapsed="false">
      <c r="A5" s="9" t="s">
        <v>93</v>
      </c>
      <c r="B5" s="9" t="s">
        <v>94</v>
      </c>
      <c r="C5" s="9" t="s">
        <v>38</v>
      </c>
      <c r="D5" s="9" t="s">
        <v>39</v>
      </c>
      <c r="E5" s="9" t="s">
        <v>65</v>
      </c>
      <c r="F5" s="9" t="s">
        <v>80</v>
      </c>
      <c r="G5" s="9" t="s">
        <v>95</v>
      </c>
      <c r="H5" s="9" t="s">
        <v>52</v>
      </c>
      <c r="I5" s="9" t="n">
        <v>4</v>
      </c>
      <c r="J5" s="9" t="n">
        <v>1242.52</v>
      </c>
      <c r="K5" s="9" t="n">
        <v>0</v>
      </c>
      <c r="L5" s="9" t="n">
        <v>271.33</v>
      </c>
      <c r="M5" s="9" t="n">
        <v>2024</v>
      </c>
      <c r="O5" s="13" t="s">
        <v>604</v>
      </c>
      <c r="P5" s="13"/>
      <c r="Q5" s="13"/>
      <c r="R5" s="13"/>
      <c r="S5" s="13"/>
      <c r="T5" s="13"/>
    </row>
    <row r="6" customFormat="false" ht="15" hidden="false" customHeight="true" outlineLevel="0" collapsed="false">
      <c r="A6" s="9" t="s">
        <v>559</v>
      </c>
      <c r="B6" s="9" t="s">
        <v>560</v>
      </c>
      <c r="C6" s="9" t="s">
        <v>161</v>
      </c>
      <c r="D6" s="9" t="s">
        <v>48</v>
      </c>
      <c r="E6" s="9" t="s">
        <v>40</v>
      </c>
      <c r="F6" s="9" t="s">
        <v>41</v>
      </c>
      <c r="G6" s="9" t="s">
        <v>561</v>
      </c>
      <c r="H6" s="9" t="s">
        <v>52</v>
      </c>
      <c r="I6" s="9" t="n">
        <v>3</v>
      </c>
      <c r="J6" s="9" t="n">
        <v>1270.23</v>
      </c>
      <c r="K6" s="9" t="n">
        <v>0</v>
      </c>
      <c r="L6" s="9" t="n">
        <v>169.4</v>
      </c>
      <c r="M6" s="9" t="n">
        <v>2023</v>
      </c>
      <c r="O6" s="13" t="s">
        <v>605</v>
      </c>
      <c r="P6" s="13"/>
      <c r="Q6" s="13"/>
      <c r="R6" s="13"/>
      <c r="S6" s="13"/>
      <c r="T6" s="13"/>
    </row>
    <row r="7" customFormat="false" ht="15" hidden="false" customHeight="true" outlineLevel="0" collapsed="false">
      <c r="A7" s="9" t="s">
        <v>356</v>
      </c>
      <c r="B7" s="9" t="s">
        <v>357</v>
      </c>
      <c r="C7" s="9" t="s">
        <v>358</v>
      </c>
      <c r="D7" s="9" t="s">
        <v>48</v>
      </c>
      <c r="E7" s="9" t="s">
        <v>49</v>
      </c>
      <c r="F7" s="9" t="s">
        <v>50</v>
      </c>
      <c r="G7" s="9" t="s">
        <v>359</v>
      </c>
      <c r="H7" s="9" t="s">
        <v>52</v>
      </c>
      <c r="I7" s="9" t="n">
        <v>6</v>
      </c>
      <c r="J7" s="9" t="n">
        <v>2209.08</v>
      </c>
      <c r="K7" s="9" t="n">
        <v>0.3</v>
      </c>
      <c r="L7" s="9" t="n">
        <v>97.47</v>
      </c>
      <c r="M7" s="9" t="n">
        <v>2025</v>
      </c>
      <c r="O7" s="13" t="s">
        <v>606</v>
      </c>
      <c r="P7" s="13"/>
      <c r="Q7" s="13"/>
      <c r="R7" s="13"/>
      <c r="S7" s="13"/>
      <c r="T7" s="13"/>
    </row>
    <row r="8" customFormat="false" ht="15" hidden="false" customHeight="true" outlineLevel="0" collapsed="false">
      <c r="A8" s="9" t="s">
        <v>308</v>
      </c>
      <c r="B8" s="9" t="s">
        <v>309</v>
      </c>
      <c r="C8" s="9" t="s">
        <v>165</v>
      </c>
      <c r="D8" s="9" t="s">
        <v>39</v>
      </c>
      <c r="E8" s="9" t="s">
        <v>40</v>
      </c>
      <c r="F8" s="9" t="s">
        <v>59</v>
      </c>
      <c r="G8" s="9" t="s">
        <v>310</v>
      </c>
      <c r="H8" s="9" t="s">
        <v>43</v>
      </c>
      <c r="I8" s="9" t="n">
        <v>10</v>
      </c>
      <c r="J8" s="9" t="n">
        <v>1274.9</v>
      </c>
      <c r="K8" s="9" t="n">
        <v>0</v>
      </c>
      <c r="L8" s="9" t="n">
        <v>81.27</v>
      </c>
      <c r="M8" s="9" t="n">
        <v>2025</v>
      </c>
      <c r="O8" s="13" t="s">
        <v>607</v>
      </c>
      <c r="P8" s="13"/>
      <c r="Q8" s="13"/>
      <c r="R8" s="13"/>
      <c r="S8" s="13"/>
      <c r="T8" s="13"/>
    </row>
    <row r="9" customFormat="false" ht="15" hidden="false" customHeight="true" outlineLevel="0" collapsed="false">
      <c r="A9" s="9" t="s">
        <v>90</v>
      </c>
      <c r="B9" s="9" t="s">
        <v>91</v>
      </c>
      <c r="C9" s="9" t="s">
        <v>608</v>
      </c>
      <c r="D9" s="9" t="s">
        <v>39</v>
      </c>
      <c r="E9" s="9" t="s">
        <v>49</v>
      </c>
      <c r="F9" s="9" t="s">
        <v>50</v>
      </c>
      <c r="G9" s="9" t="s">
        <v>92</v>
      </c>
      <c r="H9" s="9" t="s">
        <v>52</v>
      </c>
      <c r="I9" s="9" t="n">
        <v>8</v>
      </c>
      <c r="J9" s="9" t="n">
        <v>3095.04</v>
      </c>
      <c r="K9" s="9" t="n">
        <v>0</v>
      </c>
      <c r="L9" s="9" t="n">
        <v>305.78</v>
      </c>
      <c r="M9" s="9" t="n">
        <v>2024</v>
      </c>
    </row>
    <row r="10" customFormat="false" ht="15" hidden="false" customHeight="true" outlineLevel="0" collapsed="false">
      <c r="A10" s="9" t="s">
        <v>334</v>
      </c>
      <c r="B10" s="9" t="s">
        <v>335</v>
      </c>
      <c r="C10" s="9" t="s">
        <v>128</v>
      </c>
      <c r="D10" s="9" t="s">
        <v>39</v>
      </c>
      <c r="E10" s="9" t="s">
        <v>65</v>
      </c>
      <c r="F10" s="9" t="s">
        <v>66</v>
      </c>
      <c r="G10" s="9" t="s">
        <v>336</v>
      </c>
      <c r="H10" s="9" t="s">
        <v>82</v>
      </c>
      <c r="I10" s="9" t="n">
        <v>12</v>
      </c>
      <c r="J10" s="9" t="n">
        <v>1898.52</v>
      </c>
      <c r="K10" s="9" t="n">
        <v>0.1</v>
      </c>
      <c r="L10" s="9" t="n">
        <v>279.94</v>
      </c>
      <c r="M10" s="9" t="n">
        <v>2025</v>
      </c>
    </row>
    <row r="11" customFormat="false" ht="15" hidden="false" customHeight="true" outlineLevel="0" collapsed="false">
      <c r="A11" s="9" t="s">
        <v>266</v>
      </c>
      <c r="B11" s="9" t="s">
        <v>267</v>
      </c>
      <c r="C11" s="9" t="s">
        <v>172</v>
      </c>
      <c r="D11" s="9" t="s">
        <v>71</v>
      </c>
      <c r="E11" s="9" t="s">
        <v>40</v>
      </c>
      <c r="F11" s="9" t="s">
        <v>173</v>
      </c>
      <c r="G11" s="9" t="s">
        <v>268</v>
      </c>
      <c r="H11" s="9" t="s">
        <v>82</v>
      </c>
      <c r="I11" s="9" t="n">
        <v>1</v>
      </c>
      <c r="J11" s="9" t="n">
        <v>485.95</v>
      </c>
      <c r="K11" s="9" t="n">
        <v>0.1</v>
      </c>
      <c r="L11" s="9" t="n">
        <v>57</v>
      </c>
      <c r="M11" s="9" t="n">
        <v>2024</v>
      </c>
    </row>
    <row r="12" customFormat="false" ht="15" hidden="false" customHeight="true" outlineLevel="0" collapsed="false">
      <c r="A12" s="9" t="s">
        <v>140</v>
      </c>
      <c r="B12" s="9" t="s">
        <v>141</v>
      </c>
      <c r="C12" s="9" t="s">
        <v>142</v>
      </c>
      <c r="D12" s="9" t="s">
        <v>48</v>
      </c>
      <c r="E12" s="9" t="s">
        <v>40</v>
      </c>
      <c r="F12" s="9" t="s">
        <v>143</v>
      </c>
      <c r="G12" s="9" t="s">
        <v>144</v>
      </c>
      <c r="H12" s="9" t="s">
        <v>52</v>
      </c>
      <c r="I12" s="9" t="n">
        <v>3</v>
      </c>
      <c r="J12" s="9" t="n">
        <v>509.85</v>
      </c>
      <c r="K12" s="9" t="n">
        <v>0</v>
      </c>
      <c r="L12" s="9" t="n">
        <v>139.44</v>
      </c>
      <c r="M12" s="9" t="n">
        <v>2025</v>
      </c>
    </row>
    <row r="13" customFormat="false" ht="15" hidden="false" customHeight="true" outlineLevel="0" collapsed="false">
      <c r="A13" s="9" t="s">
        <v>463</v>
      </c>
      <c r="B13" s="9" t="s">
        <v>376</v>
      </c>
      <c r="C13" s="9" t="s">
        <v>88</v>
      </c>
      <c r="D13" s="9" t="s">
        <v>48</v>
      </c>
      <c r="E13" s="9" t="s">
        <v>49</v>
      </c>
      <c r="F13" s="9" t="s">
        <v>258</v>
      </c>
      <c r="G13" s="9" t="s">
        <v>464</v>
      </c>
      <c r="H13" s="9" t="s">
        <v>43</v>
      </c>
      <c r="I13" s="9" t="n">
        <v>3</v>
      </c>
      <c r="J13" s="9" t="n">
        <v>939.21</v>
      </c>
      <c r="K13" s="9" t="n">
        <v>0</v>
      </c>
      <c r="L13" s="9" t="n">
        <v>259.91</v>
      </c>
      <c r="M13" s="9" t="n">
        <v>2024</v>
      </c>
    </row>
    <row r="14" customFormat="false" ht="15" hidden="false" customHeight="true" outlineLevel="0" collapsed="false">
      <c r="A14" s="9" t="s">
        <v>468</v>
      </c>
      <c r="B14" s="9" t="s">
        <v>469</v>
      </c>
      <c r="C14" s="9" t="s">
        <v>98</v>
      </c>
      <c r="D14" s="9" t="s">
        <v>64</v>
      </c>
      <c r="E14" s="9" t="s">
        <v>65</v>
      </c>
      <c r="F14" s="9" t="s">
        <v>76</v>
      </c>
      <c r="G14" s="9" t="s">
        <v>470</v>
      </c>
      <c r="H14" s="9" t="s">
        <v>82</v>
      </c>
      <c r="I14" s="9" t="n">
        <v>7</v>
      </c>
      <c r="J14" s="9" t="n">
        <v>1667.75</v>
      </c>
      <c r="K14" s="9" t="n">
        <v>0.1</v>
      </c>
      <c r="L14" s="9" t="n">
        <v>313.3</v>
      </c>
      <c r="M14" s="9" t="n">
        <v>2023</v>
      </c>
    </row>
    <row r="15" customFormat="false" ht="15" hidden="false" customHeight="true" outlineLevel="0" collapsed="false">
      <c r="A15" s="9" t="s">
        <v>540</v>
      </c>
      <c r="B15" s="9" t="s">
        <v>541</v>
      </c>
      <c r="C15" s="9" t="s">
        <v>63</v>
      </c>
      <c r="D15" s="9" t="s">
        <v>71</v>
      </c>
      <c r="E15" s="9" t="s">
        <v>65</v>
      </c>
      <c r="F15" s="9" t="s">
        <v>109</v>
      </c>
      <c r="G15" s="9" t="s">
        <v>542</v>
      </c>
      <c r="H15" s="9" t="s">
        <v>82</v>
      </c>
      <c r="I15" s="9" t="n">
        <v>5</v>
      </c>
      <c r="J15" s="9" t="n">
        <v>1346.7</v>
      </c>
      <c r="K15" s="9" t="n">
        <v>0.1</v>
      </c>
      <c r="L15" s="9" t="n">
        <v>61.78</v>
      </c>
      <c r="M15" s="9" t="n">
        <v>2023</v>
      </c>
    </row>
    <row r="16" customFormat="false" ht="15" hidden="false" customHeight="true" outlineLevel="0" collapsed="false">
      <c r="A16" s="9" t="s">
        <v>585</v>
      </c>
      <c r="B16" s="9" t="s">
        <v>586</v>
      </c>
      <c r="C16" s="9" t="s">
        <v>358</v>
      </c>
      <c r="D16" s="9" t="s">
        <v>64</v>
      </c>
      <c r="E16" s="9" t="s">
        <v>40</v>
      </c>
      <c r="F16" s="9" t="s">
        <v>143</v>
      </c>
      <c r="G16" s="9" t="s">
        <v>587</v>
      </c>
      <c r="H16" s="9" t="s">
        <v>82</v>
      </c>
      <c r="I16" s="9" t="n">
        <v>11</v>
      </c>
      <c r="J16" s="9" t="n">
        <v>3431.78</v>
      </c>
      <c r="K16" s="9" t="n">
        <v>0</v>
      </c>
      <c r="L16" s="9" t="n">
        <v>328.94</v>
      </c>
      <c r="M16" s="9" t="n">
        <v>2024</v>
      </c>
    </row>
    <row r="17" customFormat="false" ht="15" hidden="false" customHeight="true" outlineLevel="0" collapsed="false">
      <c r="A17" s="9" t="s">
        <v>537</v>
      </c>
      <c r="B17" s="9" t="s">
        <v>538</v>
      </c>
      <c r="C17" s="9" t="s">
        <v>75</v>
      </c>
      <c r="D17" s="9" t="s">
        <v>71</v>
      </c>
      <c r="E17" s="9" t="s">
        <v>65</v>
      </c>
      <c r="F17" s="9" t="s">
        <v>109</v>
      </c>
      <c r="G17" s="9" t="s">
        <v>539</v>
      </c>
      <c r="H17" s="9" t="s">
        <v>82</v>
      </c>
      <c r="I17" s="9" t="n">
        <v>2</v>
      </c>
      <c r="J17" s="9" t="n">
        <v>1117.04</v>
      </c>
      <c r="K17" s="9" t="n">
        <v>0.3</v>
      </c>
      <c r="L17" s="9" t="n">
        <v>228.35</v>
      </c>
      <c r="M17" s="9" t="n">
        <v>2023</v>
      </c>
    </row>
    <row r="18" customFormat="false" ht="15" hidden="false" customHeight="true" outlineLevel="0" collapsed="false">
      <c r="A18" s="9" t="s">
        <v>378</v>
      </c>
      <c r="B18" s="9" t="s">
        <v>379</v>
      </c>
      <c r="C18" s="9" t="s">
        <v>38</v>
      </c>
      <c r="D18" s="9" t="s">
        <v>39</v>
      </c>
      <c r="E18" s="9" t="s">
        <v>65</v>
      </c>
      <c r="F18" s="9" t="s">
        <v>76</v>
      </c>
      <c r="G18" s="9" t="s">
        <v>380</v>
      </c>
      <c r="H18" s="9" t="s">
        <v>82</v>
      </c>
      <c r="I18" s="9" t="n">
        <v>2</v>
      </c>
      <c r="J18" s="9" t="n">
        <v>1174.24</v>
      </c>
      <c r="K18" s="9" t="n">
        <v>0.15</v>
      </c>
      <c r="L18" s="9" t="n">
        <v>279.22</v>
      </c>
      <c r="M18" s="9" t="n">
        <v>2025</v>
      </c>
    </row>
    <row r="19" customFormat="false" ht="15" hidden="false" customHeight="true" outlineLevel="0" collapsed="false">
      <c r="A19" s="9" t="s">
        <v>190</v>
      </c>
      <c r="B19" s="9" t="s">
        <v>191</v>
      </c>
      <c r="C19" s="9" t="s">
        <v>161</v>
      </c>
      <c r="D19" s="9" t="s">
        <v>64</v>
      </c>
      <c r="E19" s="9" t="s">
        <v>40</v>
      </c>
      <c r="F19" s="9" t="s">
        <v>41</v>
      </c>
      <c r="G19" s="9" t="s">
        <v>192</v>
      </c>
      <c r="H19" s="9" t="s">
        <v>82</v>
      </c>
      <c r="I19" s="9" t="n">
        <v>10</v>
      </c>
      <c r="J19" s="9" t="n">
        <v>2625.4</v>
      </c>
      <c r="K19" s="9" t="n">
        <v>0</v>
      </c>
      <c r="L19" s="9" t="n">
        <v>862.9</v>
      </c>
      <c r="M19" s="9" t="n">
        <v>2025</v>
      </c>
    </row>
    <row r="20" customFormat="false" ht="15" hidden="false" customHeight="true" outlineLevel="0" collapsed="false">
      <c r="A20" s="9" t="s">
        <v>202</v>
      </c>
      <c r="B20" s="9" t="s">
        <v>203</v>
      </c>
      <c r="C20" s="9" t="s">
        <v>142</v>
      </c>
      <c r="D20" s="9" t="s">
        <v>71</v>
      </c>
      <c r="E20" s="9" t="s">
        <v>40</v>
      </c>
      <c r="F20" s="9" t="s">
        <v>173</v>
      </c>
      <c r="G20" s="9" t="s">
        <v>204</v>
      </c>
      <c r="H20" s="9" t="s">
        <v>82</v>
      </c>
      <c r="I20" s="9" t="n">
        <v>8</v>
      </c>
      <c r="J20" s="9" t="n">
        <v>4330.16</v>
      </c>
      <c r="K20" s="9" t="n">
        <v>0.1</v>
      </c>
      <c r="L20" s="9" t="n">
        <v>336.33</v>
      </c>
      <c r="M20" s="9" t="n">
        <v>2025</v>
      </c>
    </row>
    <row r="21" customFormat="false" ht="15" hidden="false" customHeight="true" outlineLevel="0" collapsed="false">
      <c r="A21" s="9" t="s">
        <v>263</v>
      </c>
      <c r="B21" s="9" t="s">
        <v>264</v>
      </c>
      <c r="C21" s="9" t="s">
        <v>102</v>
      </c>
      <c r="D21" s="9" t="s">
        <v>64</v>
      </c>
      <c r="E21" s="9" t="s">
        <v>65</v>
      </c>
      <c r="F21" s="9" t="s">
        <v>66</v>
      </c>
      <c r="G21" s="9" t="s">
        <v>265</v>
      </c>
      <c r="H21" s="9" t="s">
        <v>52</v>
      </c>
      <c r="I21" s="9" t="n">
        <v>2</v>
      </c>
      <c r="J21" s="9" t="n">
        <v>858.18</v>
      </c>
      <c r="K21" s="9" t="n">
        <v>0</v>
      </c>
      <c r="L21" s="9" t="n">
        <v>101.85</v>
      </c>
      <c r="M21" s="9" t="n">
        <v>2023</v>
      </c>
    </row>
    <row r="22" customFormat="false" ht="15" hidden="false" customHeight="true" outlineLevel="0" collapsed="false">
      <c r="A22" s="9" t="s">
        <v>521</v>
      </c>
      <c r="B22" s="9" t="s">
        <v>522</v>
      </c>
      <c r="C22" s="9" t="s">
        <v>161</v>
      </c>
      <c r="D22" s="9" t="s">
        <v>64</v>
      </c>
      <c r="E22" s="9" t="s">
        <v>49</v>
      </c>
      <c r="F22" s="9" t="s">
        <v>50</v>
      </c>
      <c r="G22" s="9" t="s">
        <v>523</v>
      </c>
      <c r="H22" s="9" t="s">
        <v>82</v>
      </c>
      <c r="I22" s="9" t="n">
        <v>4</v>
      </c>
      <c r="J22" s="9" t="n">
        <v>1321.8</v>
      </c>
      <c r="K22" s="9" t="n">
        <v>0.2</v>
      </c>
      <c r="L22" s="9" t="n">
        <v>349.65</v>
      </c>
      <c r="M22" s="9" t="n">
        <v>2025</v>
      </c>
    </row>
    <row r="23" customFormat="false" ht="15" hidden="false" customHeight="true" outlineLevel="0" collapsed="false">
      <c r="A23" s="9" t="s">
        <v>284</v>
      </c>
      <c r="B23" s="9" t="s">
        <v>285</v>
      </c>
      <c r="C23" s="9" t="s">
        <v>98</v>
      </c>
      <c r="D23" s="9" t="s">
        <v>48</v>
      </c>
      <c r="E23" s="9" t="s">
        <v>40</v>
      </c>
      <c r="F23" s="9" t="s">
        <v>41</v>
      </c>
      <c r="G23" s="9" t="s">
        <v>286</v>
      </c>
      <c r="H23" s="9" t="s">
        <v>52</v>
      </c>
      <c r="I23" s="9" t="n">
        <v>2</v>
      </c>
      <c r="J23" s="9" t="n">
        <v>143.4</v>
      </c>
      <c r="K23" s="9" t="n">
        <v>0.1</v>
      </c>
      <c r="L23" s="9" t="n">
        <v>20.17</v>
      </c>
      <c r="M23" s="9" t="n">
        <v>2024</v>
      </c>
    </row>
    <row r="24" customFormat="false" ht="15" hidden="false" customHeight="true" outlineLevel="0" collapsed="false">
      <c r="A24" s="9" t="s">
        <v>253</v>
      </c>
      <c r="B24" s="9" t="s">
        <v>254</v>
      </c>
      <c r="C24" s="9" t="s">
        <v>172</v>
      </c>
      <c r="D24" s="9" t="s">
        <v>39</v>
      </c>
      <c r="E24" s="9" t="s">
        <v>49</v>
      </c>
      <c r="F24" s="9" t="s">
        <v>50</v>
      </c>
      <c r="G24" s="9" t="s">
        <v>255</v>
      </c>
      <c r="H24" s="9" t="s">
        <v>82</v>
      </c>
      <c r="I24" s="9" t="n">
        <v>12</v>
      </c>
      <c r="J24" s="9" t="n">
        <v>2561.88</v>
      </c>
      <c r="K24" s="9" t="n">
        <v>0.3</v>
      </c>
      <c r="L24" s="9" t="n">
        <v>148.45</v>
      </c>
      <c r="M24" s="9" t="n">
        <v>2025</v>
      </c>
    </row>
    <row r="25" customFormat="false" ht="15" hidden="false" customHeight="true" outlineLevel="0" collapsed="false">
      <c r="A25" s="9" t="s">
        <v>326</v>
      </c>
      <c r="B25" s="9" t="s">
        <v>327</v>
      </c>
      <c r="C25" s="9" t="s">
        <v>128</v>
      </c>
      <c r="D25" s="9" t="s">
        <v>48</v>
      </c>
      <c r="E25" s="9" t="s">
        <v>65</v>
      </c>
      <c r="F25" s="9" t="s">
        <v>80</v>
      </c>
      <c r="G25" s="9" t="s">
        <v>328</v>
      </c>
      <c r="H25" s="9" t="s">
        <v>52</v>
      </c>
      <c r="I25" s="9" t="n">
        <v>8</v>
      </c>
      <c r="J25" s="9" t="n">
        <v>1289.12</v>
      </c>
      <c r="K25" s="9" t="n">
        <v>0</v>
      </c>
      <c r="L25" s="9" t="n">
        <v>235.83</v>
      </c>
      <c r="M25" s="9" t="n">
        <v>2024</v>
      </c>
    </row>
    <row r="26" customFormat="false" ht="15" hidden="false" customHeight="true" outlineLevel="0" collapsed="false">
      <c r="A26" s="9" t="s">
        <v>220</v>
      </c>
      <c r="B26" s="9" t="s">
        <v>221</v>
      </c>
      <c r="C26" s="9" t="s">
        <v>38</v>
      </c>
      <c r="D26" s="9" t="s">
        <v>39</v>
      </c>
      <c r="E26" s="9" t="s">
        <v>40</v>
      </c>
      <c r="F26" s="9" t="s">
        <v>59</v>
      </c>
      <c r="G26" s="9" t="s">
        <v>222</v>
      </c>
      <c r="H26" s="9" t="s">
        <v>52</v>
      </c>
      <c r="I26" s="9" t="n">
        <v>3</v>
      </c>
      <c r="J26" s="9" t="n">
        <v>758.25</v>
      </c>
      <c r="K26" s="9" t="n">
        <v>0.1</v>
      </c>
      <c r="L26" s="9" t="n">
        <v>77.88</v>
      </c>
      <c r="M26" s="9" t="n">
        <v>2024</v>
      </c>
    </row>
    <row r="27" customFormat="false" ht="15" hidden="false" customHeight="true" outlineLevel="0" collapsed="false">
      <c r="A27" s="9" t="s">
        <v>145</v>
      </c>
      <c r="B27" s="9" t="s">
        <v>146</v>
      </c>
      <c r="C27" s="9" t="s">
        <v>142</v>
      </c>
      <c r="D27" s="9" t="s">
        <v>39</v>
      </c>
      <c r="E27" s="9" t="s">
        <v>65</v>
      </c>
      <c r="F27" s="9" t="s">
        <v>76</v>
      </c>
      <c r="G27" s="9" t="s">
        <v>147</v>
      </c>
      <c r="H27" s="9" t="s">
        <v>43</v>
      </c>
      <c r="I27" s="9" t="n">
        <v>8</v>
      </c>
      <c r="J27" s="9" t="n">
        <v>1454.96</v>
      </c>
      <c r="K27" s="9" t="n">
        <v>0.2</v>
      </c>
      <c r="L27" s="9" t="n">
        <v>392.48</v>
      </c>
      <c r="M27" s="9" t="n">
        <v>2024</v>
      </c>
    </row>
    <row r="28" customFormat="false" ht="15" hidden="false" customHeight="true" outlineLevel="0" collapsed="false">
      <c r="A28" s="9" t="s">
        <v>497</v>
      </c>
      <c r="B28" s="9" t="s">
        <v>498</v>
      </c>
      <c r="C28" s="9" t="s">
        <v>608</v>
      </c>
      <c r="D28" s="9" t="s">
        <v>64</v>
      </c>
      <c r="E28" s="9" t="s">
        <v>40</v>
      </c>
      <c r="F28" s="9" t="s">
        <v>41</v>
      </c>
      <c r="G28" s="9" t="s">
        <v>499</v>
      </c>
      <c r="H28" s="9" t="s">
        <v>52</v>
      </c>
      <c r="I28" s="9" t="n">
        <v>1</v>
      </c>
      <c r="J28" s="9" t="n">
        <v>353.82</v>
      </c>
      <c r="K28" s="9" t="n">
        <v>0.15</v>
      </c>
      <c r="L28" s="9" t="n">
        <v>20.54</v>
      </c>
      <c r="M28" s="9" t="n">
        <v>2024</v>
      </c>
    </row>
    <row r="29" customFormat="false" ht="15" hidden="false" customHeight="true" outlineLevel="0" collapsed="false">
      <c r="A29" s="9" t="s">
        <v>148</v>
      </c>
      <c r="B29" s="9" t="s">
        <v>149</v>
      </c>
      <c r="C29" s="9" t="s">
        <v>128</v>
      </c>
      <c r="D29" s="9" t="s">
        <v>48</v>
      </c>
      <c r="E29" s="9" t="s">
        <v>65</v>
      </c>
      <c r="F29" s="9" t="s">
        <v>109</v>
      </c>
      <c r="G29" s="9" t="s">
        <v>150</v>
      </c>
      <c r="H29" s="9" t="s">
        <v>82</v>
      </c>
      <c r="I29" s="9" t="n">
        <v>9</v>
      </c>
      <c r="J29" s="9" t="n">
        <v>556.83</v>
      </c>
      <c r="K29" s="9" t="n">
        <v>0</v>
      </c>
      <c r="L29" s="9" t="n">
        <v>39.29</v>
      </c>
      <c r="M29" s="9" t="n">
        <v>2023</v>
      </c>
    </row>
    <row r="30" customFormat="false" ht="15" hidden="false" customHeight="true" outlineLevel="0" collapsed="false">
      <c r="A30" s="9" t="s">
        <v>278</v>
      </c>
      <c r="B30" s="9" t="s">
        <v>279</v>
      </c>
      <c r="C30" s="9" t="s">
        <v>102</v>
      </c>
      <c r="D30" s="9" t="s">
        <v>39</v>
      </c>
      <c r="E30" s="9" t="s">
        <v>40</v>
      </c>
      <c r="F30" s="9" t="s">
        <v>173</v>
      </c>
      <c r="G30" s="9" t="s">
        <v>280</v>
      </c>
      <c r="H30" s="9" t="s">
        <v>43</v>
      </c>
      <c r="I30" s="9" t="n">
        <v>10</v>
      </c>
      <c r="J30" s="9" t="n">
        <v>629.6</v>
      </c>
      <c r="K30" s="9" t="n">
        <v>0.2</v>
      </c>
      <c r="L30" s="9" t="n">
        <v>113.38</v>
      </c>
      <c r="M30" s="9" t="n">
        <v>2023</v>
      </c>
    </row>
    <row r="31" customFormat="false" ht="15" hidden="false" customHeight="true" outlineLevel="0" collapsed="false">
      <c r="A31" s="9" t="s">
        <v>329</v>
      </c>
      <c r="B31" s="9" t="s">
        <v>146</v>
      </c>
      <c r="C31" s="9" t="s">
        <v>102</v>
      </c>
      <c r="D31" s="9" t="s">
        <v>71</v>
      </c>
      <c r="E31" s="9" t="s">
        <v>49</v>
      </c>
      <c r="F31" s="9" t="s">
        <v>129</v>
      </c>
      <c r="G31" s="9" t="s">
        <v>330</v>
      </c>
      <c r="H31" s="9" t="s">
        <v>52</v>
      </c>
      <c r="I31" s="9" t="n">
        <v>7</v>
      </c>
      <c r="J31" s="9" t="n">
        <v>640.92</v>
      </c>
      <c r="K31" s="9" t="n">
        <v>0.2</v>
      </c>
      <c r="L31" s="9" t="n">
        <v>71.78</v>
      </c>
      <c r="M31" s="9" t="n">
        <v>2024</v>
      </c>
    </row>
    <row r="32" customFormat="false" ht="15" hidden="false" customHeight="true" outlineLevel="0" collapsed="false">
      <c r="A32" s="9" t="s">
        <v>123</v>
      </c>
      <c r="B32" s="9" t="s">
        <v>124</v>
      </c>
      <c r="C32" s="9" t="s">
        <v>38</v>
      </c>
      <c r="D32" s="9" t="s">
        <v>39</v>
      </c>
      <c r="E32" s="9" t="s">
        <v>65</v>
      </c>
      <c r="F32" s="9" t="s">
        <v>109</v>
      </c>
      <c r="G32" s="9" t="s">
        <v>125</v>
      </c>
      <c r="H32" s="9" t="s">
        <v>43</v>
      </c>
      <c r="I32" s="9" t="n">
        <v>9</v>
      </c>
      <c r="J32" s="9" t="n">
        <v>1531.26</v>
      </c>
      <c r="K32" s="9" t="n">
        <v>0</v>
      </c>
      <c r="L32" s="9" t="n">
        <v>481.21</v>
      </c>
      <c r="M32" s="9" t="n">
        <v>2024</v>
      </c>
    </row>
    <row r="33" customFormat="false" ht="15" hidden="false" customHeight="true" outlineLevel="0" collapsed="false">
      <c r="A33" s="9" t="s">
        <v>337</v>
      </c>
      <c r="B33" s="9" t="s">
        <v>338</v>
      </c>
      <c r="C33" s="9" t="s">
        <v>165</v>
      </c>
      <c r="D33" s="9" t="s">
        <v>48</v>
      </c>
      <c r="E33" s="9" t="s">
        <v>49</v>
      </c>
      <c r="F33" s="9" t="s">
        <v>129</v>
      </c>
      <c r="G33" s="9" t="s">
        <v>339</v>
      </c>
      <c r="H33" s="9" t="s">
        <v>52</v>
      </c>
      <c r="I33" s="9" t="n">
        <v>1</v>
      </c>
      <c r="J33" s="9" t="n">
        <v>405.7</v>
      </c>
      <c r="K33" s="9" t="n">
        <v>0.15</v>
      </c>
      <c r="L33" s="9" t="n">
        <v>48.21</v>
      </c>
      <c r="M33" s="9" t="n">
        <v>2025</v>
      </c>
    </row>
    <row r="34" customFormat="false" ht="15" hidden="false" customHeight="true" outlineLevel="0" collapsed="false">
      <c r="A34" s="9" t="s">
        <v>503</v>
      </c>
      <c r="B34" s="9" t="s">
        <v>504</v>
      </c>
      <c r="C34" s="9" t="s">
        <v>358</v>
      </c>
      <c r="D34" s="9" t="s">
        <v>39</v>
      </c>
      <c r="E34" s="9" t="s">
        <v>65</v>
      </c>
      <c r="F34" s="9" t="s">
        <v>76</v>
      </c>
      <c r="G34" s="9" t="s">
        <v>505</v>
      </c>
      <c r="H34" s="9" t="s">
        <v>43</v>
      </c>
      <c r="I34" s="9" t="n">
        <v>5</v>
      </c>
      <c r="J34" s="9" t="n">
        <v>899.15</v>
      </c>
      <c r="K34" s="9" t="n">
        <v>0</v>
      </c>
      <c r="L34" s="9" t="n">
        <v>238.53</v>
      </c>
      <c r="M34" s="9" t="n">
        <v>2023</v>
      </c>
    </row>
    <row r="35" customFormat="false" ht="15" hidden="false" customHeight="true" outlineLevel="0" collapsed="false">
      <c r="A35" s="9" t="s">
        <v>311</v>
      </c>
      <c r="B35" s="9" t="s">
        <v>312</v>
      </c>
      <c r="C35" s="9" t="s">
        <v>161</v>
      </c>
      <c r="D35" s="9" t="s">
        <v>48</v>
      </c>
      <c r="E35" s="9" t="s">
        <v>40</v>
      </c>
      <c r="F35" s="9" t="s">
        <v>143</v>
      </c>
      <c r="G35" s="9" t="s">
        <v>313</v>
      </c>
      <c r="H35" s="9" t="s">
        <v>82</v>
      </c>
      <c r="I35" s="9" t="n">
        <v>2</v>
      </c>
      <c r="J35" s="9" t="n">
        <v>772.12</v>
      </c>
      <c r="K35" s="9" t="n">
        <v>0.3</v>
      </c>
      <c r="L35" s="9" t="n">
        <v>71.89</v>
      </c>
      <c r="M35" s="9" t="n">
        <v>2023</v>
      </c>
    </row>
    <row r="36" customFormat="false" ht="15" hidden="false" customHeight="true" outlineLevel="0" collapsed="false">
      <c r="A36" s="9" t="s">
        <v>500</v>
      </c>
      <c r="B36" s="9" t="s">
        <v>501</v>
      </c>
      <c r="C36" s="9" t="s">
        <v>128</v>
      </c>
      <c r="D36" s="9" t="s">
        <v>71</v>
      </c>
      <c r="E36" s="9" t="s">
        <v>49</v>
      </c>
      <c r="F36" s="9" t="s">
        <v>225</v>
      </c>
      <c r="G36" s="9" t="s">
        <v>502</v>
      </c>
      <c r="H36" s="9" t="s">
        <v>82</v>
      </c>
      <c r="I36" s="9" t="n">
        <v>9</v>
      </c>
      <c r="J36" s="9" t="n">
        <v>3850.38</v>
      </c>
      <c r="K36" s="9" t="n">
        <v>0.15</v>
      </c>
      <c r="L36" s="9" t="n">
        <v>173.14</v>
      </c>
      <c r="M36" s="9" t="n">
        <v>2025</v>
      </c>
    </row>
    <row r="37" customFormat="false" ht="15" hidden="false" customHeight="true" outlineLevel="0" collapsed="false">
      <c r="A37" s="9" t="s">
        <v>347</v>
      </c>
      <c r="B37" s="9" t="s">
        <v>348</v>
      </c>
      <c r="C37" s="9" t="s">
        <v>88</v>
      </c>
      <c r="D37" s="9" t="s">
        <v>39</v>
      </c>
      <c r="E37" s="9" t="s">
        <v>40</v>
      </c>
      <c r="F37" s="9" t="s">
        <v>173</v>
      </c>
      <c r="G37" s="9" t="s">
        <v>349</v>
      </c>
      <c r="H37" s="9" t="s">
        <v>82</v>
      </c>
      <c r="I37" s="9" t="n">
        <v>7</v>
      </c>
      <c r="J37" s="9" t="n">
        <v>626.92</v>
      </c>
      <c r="K37" s="9" t="n">
        <v>0</v>
      </c>
      <c r="L37" s="9" t="n">
        <v>99.93</v>
      </c>
      <c r="M37" s="9" t="n">
        <v>2023</v>
      </c>
    </row>
    <row r="38" customFormat="false" ht="15" hidden="false" customHeight="true" outlineLevel="0" collapsed="false">
      <c r="A38" s="9" t="s">
        <v>553</v>
      </c>
      <c r="B38" s="9" t="s">
        <v>554</v>
      </c>
      <c r="C38" s="9" t="s">
        <v>358</v>
      </c>
      <c r="D38" s="9" t="s">
        <v>64</v>
      </c>
      <c r="E38" s="9" t="s">
        <v>65</v>
      </c>
      <c r="F38" s="9" t="s">
        <v>66</v>
      </c>
      <c r="G38" s="9" t="s">
        <v>555</v>
      </c>
      <c r="H38" s="9" t="s">
        <v>52</v>
      </c>
      <c r="I38" s="9" t="n">
        <v>9</v>
      </c>
      <c r="J38" s="9" t="n">
        <v>4789.98</v>
      </c>
      <c r="K38" s="9" t="n">
        <v>0.1</v>
      </c>
      <c r="L38" s="9" t="n">
        <v>1475.01</v>
      </c>
      <c r="M38" s="9" t="n">
        <v>2024</v>
      </c>
    </row>
    <row r="39" customFormat="false" ht="15" hidden="false" customHeight="true" outlineLevel="0" collapsed="false">
      <c r="A39" s="9" t="s">
        <v>460</v>
      </c>
      <c r="B39" s="9" t="s">
        <v>461</v>
      </c>
      <c r="C39" s="9" t="s">
        <v>98</v>
      </c>
      <c r="D39" s="9" t="s">
        <v>64</v>
      </c>
      <c r="E39" s="9" t="s">
        <v>65</v>
      </c>
      <c r="F39" s="9" t="s">
        <v>76</v>
      </c>
      <c r="G39" s="9" t="s">
        <v>462</v>
      </c>
      <c r="H39" s="9" t="s">
        <v>52</v>
      </c>
      <c r="I39" s="9" t="n">
        <v>3</v>
      </c>
      <c r="J39" s="9" t="n">
        <v>1337.67</v>
      </c>
      <c r="K39" s="9" t="n">
        <v>0</v>
      </c>
      <c r="L39" s="9" t="n">
        <v>380.86</v>
      </c>
      <c r="M39" s="9" t="n">
        <v>2023</v>
      </c>
    </row>
    <row r="40" customFormat="false" ht="15" hidden="false" customHeight="true" outlineLevel="0" collapsed="false">
      <c r="A40" s="9" t="s">
        <v>474</v>
      </c>
      <c r="B40" s="9" t="s">
        <v>475</v>
      </c>
      <c r="C40" s="9" t="s">
        <v>358</v>
      </c>
      <c r="D40" s="9" t="s">
        <v>64</v>
      </c>
      <c r="E40" s="9" t="s">
        <v>40</v>
      </c>
      <c r="F40" s="9" t="s">
        <v>173</v>
      </c>
      <c r="G40" s="9" t="s">
        <v>476</v>
      </c>
      <c r="H40" s="9" t="s">
        <v>43</v>
      </c>
      <c r="I40" s="9" t="n">
        <v>1</v>
      </c>
      <c r="J40" s="9" t="n">
        <v>517.28</v>
      </c>
      <c r="K40" s="9" t="n">
        <v>0</v>
      </c>
      <c r="L40" s="9" t="n">
        <v>56.83</v>
      </c>
      <c r="M40" s="9" t="n">
        <v>2025</v>
      </c>
    </row>
    <row r="41" customFormat="false" ht="15" hidden="false" customHeight="true" outlineLevel="0" collapsed="false">
      <c r="A41" s="9" t="s">
        <v>175</v>
      </c>
      <c r="B41" s="9" t="s">
        <v>176</v>
      </c>
      <c r="C41" s="9" t="s">
        <v>47</v>
      </c>
      <c r="D41" s="9" t="s">
        <v>64</v>
      </c>
      <c r="E41" s="9" t="s">
        <v>49</v>
      </c>
      <c r="F41" s="9" t="s">
        <v>129</v>
      </c>
      <c r="G41" s="9" t="s">
        <v>177</v>
      </c>
      <c r="H41" s="9" t="s">
        <v>52</v>
      </c>
      <c r="I41" s="9" t="n">
        <v>7</v>
      </c>
      <c r="J41" s="9" t="n">
        <v>1449.21</v>
      </c>
      <c r="K41" s="9" t="n">
        <v>0.3</v>
      </c>
      <c r="L41" s="9" t="n">
        <v>71.85</v>
      </c>
      <c r="M41" s="9" t="n">
        <v>2024</v>
      </c>
    </row>
    <row r="42" customFormat="false" ht="15" hidden="false" customHeight="true" outlineLevel="0" collapsed="false">
      <c r="A42" s="9" t="s">
        <v>445</v>
      </c>
      <c r="B42" s="9" t="s">
        <v>446</v>
      </c>
      <c r="C42" s="9" t="s">
        <v>63</v>
      </c>
      <c r="D42" s="9" t="s">
        <v>48</v>
      </c>
      <c r="E42" s="9" t="s">
        <v>49</v>
      </c>
      <c r="F42" s="9" t="s">
        <v>129</v>
      </c>
      <c r="G42" s="9" t="s">
        <v>447</v>
      </c>
      <c r="H42" s="9" t="s">
        <v>82</v>
      </c>
      <c r="I42" s="9" t="n">
        <v>2</v>
      </c>
      <c r="J42" s="9" t="n">
        <v>1056.14</v>
      </c>
      <c r="K42" s="9" t="n">
        <v>0</v>
      </c>
      <c r="L42" s="9" t="n">
        <v>109.38</v>
      </c>
      <c r="M42" s="9" t="n">
        <v>2023</v>
      </c>
    </row>
    <row r="43" customFormat="false" ht="15" hidden="false" customHeight="true" outlineLevel="0" collapsed="false">
      <c r="A43" s="9" t="s">
        <v>369</v>
      </c>
      <c r="B43" s="9" t="s">
        <v>370</v>
      </c>
      <c r="C43" s="9" t="s">
        <v>88</v>
      </c>
      <c r="D43" s="9" t="s">
        <v>48</v>
      </c>
      <c r="E43" s="9" t="s">
        <v>65</v>
      </c>
      <c r="F43" s="9" t="s">
        <v>109</v>
      </c>
      <c r="G43" s="9" t="s">
        <v>371</v>
      </c>
      <c r="H43" s="9" t="s">
        <v>82</v>
      </c>
      <c r="I43" s="9" t="n">
        <v>7</v>
      </c>
      <c r="J43" s="9" t="n">
        <v>2587.41</v>
      </c>
      <c r="K43" s="9" t="n">
        <v>0.15</v>
      </c>
      <c r="L43" s="9" t="n">
        <v>186.27</v>
      </c>
      <c r="M43" s="9" t="n">
        <v>2024</v>
      </c>
    </row>
    <row r="44" customFormat="false" ht="15" hidden="false" customHeight="true" outlineLevel="0" collapsed="false">
      <c r="A44" s="9" t="s">
        <v>290</v>
      </c>
      <c r="B44" s="9" t="s">
        <v>291</v>
      </c>
      <c r="C44" s="9" t="s">
        <v>47</v>
      </c>
      <c r="D44" s="9" t="s">
        <v>48</v>
      </c>
      <c r="E44" s="9" t="s">
        <v>65</v>
      </c>
      <c r="F44" s="9" t="s">
        <v>66</v>
      </c>
      <c r="G44" s="9" t="s">
        <v>292</v>
      </c>
      <c r="H44" s="9" t="s">
        <v>52</v>
      </c>
      <c r="I44" s="9" t="n">
        <v>9</v>
      </c>
      <c r="J44" s="9" t="n">
        <v>3751.29</v>
      </c>
      <c r="K44" s="9" t="n">
        <v>0.2</v>
      </c>
      <c r="L44" s="9" t="n">
        <v>813.61</v>
      </c>
      <c r="M44" s="9" t="n">
        <v>2025</v>
      </c>
    </row>
    <row r="45" customFormat="false" ht="15" hidden="false" customHeight="true" outlineLevel="0" collapsed="false">
      <c r="A45" s="9" t="s">
        <v>437</v>
      </c>
      <c r="B45" s="9" t="s">
        <v>438</v>
      </c>
      <c r="C45" s="9" t="s">
        <v>63</v>
      </c>
      <c r="D45" s="9" t="s">
        <v>71</v>
      </c>
      <c r="E45" s="9" t="s">
        <v>49</v>
      </c>
      <c r="F45" s="9" t="s">
        <v>207</v>
      </c>
      <c r="G45" s="9" t="s">
        <v>439</v>
      </c>
      <c r="H45" s="9" t="s">
        <v>52</v>
      </c>
      <c r="I45" s="9" t="n">
        <v>12</v>
      </c>
      <c r="J45" s="9" t="n">
        <v>6498.36</v>
      </c>
      <c r="K45" s="9" t="n">
        <v>0.15</v>
      </c>
      <c r="L45" s="9" t="n">
        <v>788.69</v>
      </c>
      <c r="M45" s="9" t="n">
        <v>2023</v>
      </c>
    </row>
    <row r="46" customFormat="false" ht="15" hidden="false" customHeight="true" outlineLevel="0" collapsed="false">
      <c r="A46" s="9" t="s">
        <v>384</v>
      </c>
      <c r="B46" s="9" t="s">
        <v>385</v>
      </c>
      <c r="C46" s="9" t="s">
        <v>113</v>
      </c>
      <c r="D46" s="9" t="s">
        <v>71</v>
      </c>
      <c r="E46" s="9" t="s">
        <v>49</v>
      </c>
      <c r="F46" s="9" t="s">
        <v>207</v>
      </c>
      <c r="G46" s="9" t="s">
        <v>386</v>
      </c>
      <c r="H46" s="9" t="s">
        <v>82</v>
      </c>
      <c r="I46" s="9" t="n">
        <v>7</v>
      </c>
      <c r="J46" s="9" t="n">
        <v>2827.86</v>
      </c>
      <c r="K46" s="9" t="n">
        <v>0.1</v>
      </c>
      <c r="L46" s="9" t="n">
        <v>644.4</v>
      </c>
      <c r="M46" s="9" t="n">
        <v>2024</v>
      </c>
    </row>
    <row r="47" customFormat="false" ht="15" hidden="false" customHeight="true" outlineLevel="0" collapsed="false">
      <c r="A47" s="9" t="s">
        <v>419</v>
      </c>
      <c r="B47" s="9" t="s">
        <v>420</v>
      </c>
      <c r="C47" s="9" t="s">
        <v>165</v>
      </c>
      <c r="D47" s="9" t="s">
        <v>39</v>
      </c>
      <c r="E47" s="9" t="s">
        <v>40</v>
      </c>
      <c r="F47" s="9" t="s">
        <v>143</v>
      </c>
      <c r="G47" s="9" t="s">
        <v>421</v>
      </c>
      <c r="H47" s="9" t="s">
        <v>43</v>
      </c>
      <c r="I47" s="9" t="n">
        <v>4</v>
      </c>
      <c r="J47" s="9" t="n">
        <v>1065.92</v>
      </c>
      <c r="K47" s="9" t="n">
        <v>0.15</v>
      </c>
      <c r="L47" s="9" t="n">
        <v>210.2</v>
      </c>
      <c r="M47" s="9" t="n">
        <v>2024</v>
      </c>
    </row>
    <row r="48" customFormat="false" ht="15" hidden="false" customHeight="true" outlineLevel="0" collapsed="false">
      <c r="A48" s="9" t="s">
        <v>205</v>
      </c>
      <c r="B48" s="9" t="s">
        <v>206</v>
      </c>
      <c r="C48" s="9" t="s">
        <v>75</v>
      </c>
      <c r="D48" s="9" t="s">
        <v>64</v>
      </c>
      <c r="E48" s="9" t="s">
        <v>49</v>
      </c>
      <c r="F48" s="9" t="s">
        <v>207</v>
      </c>
      <c r="G48" s="9" t="s">
        <v>208</v>
      </c>
      <c r="H48" s="9" t="s">
        <v>43</v>
      </c>
      <c r="I48" s="9" t="n">
        <v>11</v>
      </c>
      <c r="J48" s="9" t="n">
        <v>710.71</v>
      </c>
      <c r="K48" s="9" t="n">
        <v>0.15</v>
      </c>
      <c r="L48" s="9" t="n">
        <v>150.52</v>
      </c>
      <c r="M48" s="9" t="n">
        <v>2023</v>
      </c>
    </row>
    <row r="49" customFormat="false" ht="15" hidden="false" customHeight="true" outlineLevel="0" collapsed="false">
      <c r="A49" s="9" t="s">
        <v>100</v>
      </c>
      <c r="B49" s="9" t="s">
        <v>101</v>
      </c>
      <c r="C49" s="9" t="s">
        <v>102</v>
      </c>
      <c r="D49" s="9" t="s">
        <v>71</v>
      </c>
      <c r="E49" s="9" t="s">
        <v>49</v>
      </c>
      <c r="F49" s="9" t="s">
        <v>50</v>
      </c>
      <c r="G49" s="9" t="s">
        <v>103</v>
      </c>
      <c r="H49" s="9" t="s">
        <v>52</v>
      </c>
      <c r="I49" s="9" t="n">
        <v>3</v>
      </c>
      <c r="J49" s="9" t="n">
        <v>87.87</v>
      </c>
      <c r="K49" s="9" t="n">
        <v>0</v>
      </c>
      <c r="L49" s="9" t="n">
        <v>30.33</v>
      </c>
      <c r="M49" s="9" t="n">
        <v>2024</v>
      </c>
    </row>
    <row r="50" customFormat="false" ht="15" hidden="false" customHeight="true" outlineLevel="0" collapsed="false">
      <c r="A50" s="9" t="s">
        <v>214</v>
      </c>
      <c r="B50" s="9" t="s">
        <v>215</v>
      </c>
      <c r="C50" s="9" t="s">
        <v>142</v>
      </c>
      <c r="D50" s="9" t="s">
        <v>64</v>
      </c>
      <c r="E50" s="9" t="s">
        <v>65</v>
      </c>
      <c r="F50" s="9" t="s">
        <v>80</v>
      </c>
      <c r="G50" s="9" t="s">
        <v>216</v>
      </c>
      <c r="H50" s="9" t="s">
        <v>43</v>
      </c>
      <c r="I50" s="9" t="n">
        <v>7</v>
      </c>
      <c r="J50" s="9" t="n">
        <v>1104.11</v>
      </c>
      <c r="K50" s="9" t="n">
        <v>0.2</v>
      </c>
      <c r="L50" s="9" t="n">
        <v>226.37</v>
      </c>
      <c r="M50" s="9" t="n">
        <v>2025</v>
      </c>
    </row>
    <row r="51" customFormat="false" ht="15" hidden="false" customHeight="true" outlineLevel="0" collapsed="false">
      <c r="A51" s="9" t="s">
        <v>387</v>
      </c>
      <c r="B51" s="9" t="s">
        <v>388</v>
      </c>
      <c r="C51" s="9" t="s">
        <v>58</v>
      </c>
      <c r="D51" s="9" t="s">
        <v>64</v>
      </c>
      <c r="E51" s="9" t="s">
        <v>65</v>
      </c>
      <c r="F51" s="9" t="s">
        <v>80</v>
      </c>
      <c r="G51" s="9" t="s">
        <v>389</v>
      </c>
      <c r="H51" s="9" t="s">
        <v>52</v>
      </c>
      <c r="I51" s="9" t="n">
        <v>9</v>
      </c>
      <c r="J51" s="9" t="n">
        <v>1447.02</v>
      </c>
      <c r="K51" s="9" t="n">
        <v>0.3</v>
      </c>
      <c r="L51" s="9" t="n">
        <v>87.52</v>
      </c>
      <c r="M51" s="9" t="n">
        <v>2023</v>
      </c>
    </row>
    <row r="52" customFormat="false" ht="15" hidden="false" customHeight="true" outlineLevel="0" collapsed="false">
      <c r="A52" s="9" t="s">
        <v>317</v>
      </c>
      <c r="B52" s="9" t="s">
        <v>318</v>
      </c>
      <c r="C52" s="9" t="s">
        <v>608</v>
      </c>
      <c r="D52" s="9" t="s">
        <v>71</v>
      </c>
      <c r="E52" s="9" t="s">
        <v>49</v>
      </c>
      <c r="F52" s="9" t="s">
        <v>258</v>
      </c>
      <c r="G52" s="9" t="s">
        <v>319</v>
      </c>
      <c r="H52" s="9" t="s">
        <v>82</v>
      </c>
      <c r="I52" s="9" t="n">
        <v>7</v>
      </c>
      <c r="J52" s="9" t="n">
        <v>3506.16</v>
      </c>
      <c r="K52" s="9" t="n">
        <v>0.15</v>
      </c>
      <c r="L52" s="9" t="n">
        <v>547.69</v>
      </c>
      <c r="M52" s="9" t="n">
        <v>2025</v>
      </c>
    </row>
    <row r="53" customFormat="false" ht="15" hidden="false" customHeight="true" outlineLevel="0" collapsed="false">
      <c r="A53" s="9" t="s">
        <v>531</v>
      </c>
      <c r="B53" s="9" t="s">
        <v>532</v>
      </c>
      <c r="C53" s="9" t="s">
        <v>102</v>
      </c>
      <c r="D53" s="9" t="s">
        <v>71</v>
      </c>
      <c r="E53" s="9" t="s">
        <v>40</v>
      </c>
      <c r="F53" s="9" t="s">
        <v>41</v>
      </c>
      <c r="G53" s="9" t="s">
        <v>533</v>
      </c>
      <c r="H53" s="9" t="s">
        <v>43</v>
      </c>
      <c r="I53" s="9" t="n">
        <v>9</v>
      </c>
      <c r="J53" s="9" t="n">
        <v>2686.41</v>
      </c>
      <c r="K53" s="9" t="n">
        <v>0</v>
      </c>
      <c r="L53" s="9" t="n">
        <v>355.62</v>
      </c>
      <c r="M53" s="9" t="n">
        <v>2024</v>
      </c>
    </row>
    <row r="54" customFormat="false" ht="15" hidden="false" customHeight="true" outlineLevel="0" collapsed="false">
      <c r="A54" s="9" t="s">
        <v>480</v>
      </c>
      <c r="B54" s="9" t="s">
        <v>342</v>
      </c>
      <c r="C54" s="9" t="s">
        <v>63</v>
      </c>
      <c r="D54" s="9" t="s">
        <v>71</v>
      </c>
      <c r="E54" s="9" t="s">
        <v>40</v>
      </c>
      <c r="F54" s="9" t="s">
        <v>143</v>
      </c>
      <c r="G54" s="9" t="s">
        <v>481</v>
      </c>
      <c r="H54" s="9" t="s">
        <v>52</v>
      </c>
      <c r="I54" s="9" t="n">
        <v>9</v>
      </c>
      <c r="J54" s="9" t="n">
        <v>559.26</v>
      </c>
      <c r="K54" s="9" t="n">
        <v>0</v>
      </c>
      <c r="L54" s="9" t="n">
        <v>66.76</v>
      </c>
      <c r="M54" s="9" t="n">
        <v>2024</v>
      </c>
    </row>
    <row r="55" customFormat="false" ht="15" hidden="false" customHeight="true" outlineLevel="0" collapsed="false">
      <c r="A55" s="9" t="s">
        <v>131</v>
      </c>
      <c r="B55" s="9" t="s">
        <v>132</v>
      </c>
      <c r="C55" s="9" t="s">
        <v>98</v>
      </c>
      <c r="D55" s="9" t="s">
        <v>48</v>
      </c>
      <c r="E55" s="9" t="s">
        <v>65</v>
      </c>
      <c r="F55" s="9" t="s">
        <v>76</v>
      </c>
      <c r="G55" s="9" t="s">
        <v>133</v>
      </c>
      <c r="H55" s="9" t="s">
        <v>52</v>
      </c>
      <c r="I55" s="9" t="n">
        <v>9</v>
      </c>
      <c r="J55" s="9" t="n">
        <v>2588.13</v>
      </c>
      <c r="K55" s="9" t="n">
        <v>0</v>
      </c>
      <c r="L55" s="9" t="n">
        <v>290</v>
      </c>
      <c r="M55" s="9" t="n">
        <v>2024</v>
      </c>
    </row>
    <row r="56" customFormat="false" ht="15" hidden="false" customHeight="true" outlineLevel="0" collapsed="false">
      <c r="A56" s="9" t="s">
        <v>281</v>
      </c>
      <c r="B56" s="9" t="s">
        <v>282</v>
      </c>
      <c r="C56" s="9" t="s">
        <v>142</v>
      </c>
      <c r="D56" s="9" t="s">
        <v>39</v>
      </c>
      <c r="E56" s="9" t="s">
        <v>49</v>
      </c>
      <c r="F56" s="9" t="s">
        <v>258</v>
      </c>
      <c r="G56" s="9" t="s">
        <v>283</v>
      </c>
      <c r="H56" s="9" t="s">
        <v>82</v>
      </c>
      <c r="I56" s="9" t="n">
        <v>1</v>
      </c>
      <c r="J56" s="9" t="n">
        <v>566.5</v>
      </c>
      <c r="K56" s="9" t="n">
        <v>0</v>
      </c>
      <c r="L56" s="9" t="n">
        <v>156.38</v>
      </c>
      <c r="M56" s="9" t="n">
        <v>2025</v>
      </c>
    </row>
    <row r="57" customFormat="false" ht="15" hidden="false" customHeight="true" outlineLevel="0" collapsed="false">
      <c r="A57" s="9" t="s">
        <v>375</v>
      </c>
      <c r="B57" s="9" t="s">
        <v>376</v>
      </c>
      <c r="C57" s="9" t="s">
        <v>75</v>
      </c>
      <c r="D57" s="9" t="s">
        <v>64</v>
      </c>
      <c r="E57" s="9" t="s">
        <v>49</v>
      </c>
      <c r="F57" s="9" t="s">
        <v>258</v>
      </c>
      <c r="G57" s="9" t="s">
        <v>377</v>
      </c>
      <c r="H57" s="9" t="s">
        <v>82</v>
      </c>
      <c r="I57" s="9" t="n">
        <v>5</v>
      </c>
      <c r="J57" s="9" t="n">
        <v>1349.8</v>
      </c>
      <c r="K57" s="9" t="n">
        <v>0</v>
      </c>
      <c r="L57" s="9" t="n">
        <v>224.95</v>
      </c>
      <c r="M57" s="9" t="n">
        <v>2024</v>
      </c>
    </row>
    <row r="58" customFormat="false" ht="15" hidden="false" customHeight="true" outlineLevel="0" collapsed="false">
      <c r="A58" s="9" t="s">
        <v>114</v>
      </c>
      <c r="B58" s="9" t="s">
        <v>115</v>
      </c>
      <c r="C58" s="9" t="s">
        <v>58</v>
      </c>
      <c r="D58" s="9" t="s">
        <v>64</v>
      </c>
      <c r="E58" s="9" t="s">
        <v>40</v>
      </c>
      <c r="F58" s="9" t="s">
        <v>41</v>
      </c>
      <c r="G58" s="9" t="s">
        <v>116</v>
      </c>
      <c r="H58" s="9" t="s">
        <v>82</v>
      </c>
      <c r="I58" s="9" t="n">
        <v>10</v>
      </c>
      <c r="J58" s="9" t="n">
        <v>3274.6</v>
      </c>
      <c r="K58" s="9" t="n">
        <v>0.1</v>
      </c>
      <c r="L58" s="9" t="n">
        <v>670.67</v>
      </c>
      <c r="M58" s="9" t="n">
        <v>2023</v>
      </c>
    </row>
    <row r="59" customFormat="false" ht="15" hidden="false" customHeight="true" outlineLevel="0" collapsed="false">
      <c r="A59" s="9" t="s">
        <v>594</v>
      </c>
      <c r="B59" s="9" t="s">
        <v>595</v>
      </c>
      <c r="C59" s="9" t="s">
        <v>113</v>
      </c>
      <c r="D59" s="9" t="s">
        <v>48</v>
      </c>
      <c r="E59" s="9" t="s">
        <v>65</v>
      </c>
      <c r="F59" s="9" t="s">
        <v>109</v>
      </c>
      <c r="G59" s="9" t="s">
        <v>596</v>
      </c>
      <c r="H59" s="9" t="s">
        <v>82</v>
      </c>
      <c r="I59" s="9" t="n">
        <v>3</v>
      </c>
      <c r="J59" s="9" t="n">
        <v>133.26</v>
      </c>
      <c r="K59" s="9" t="n">
        <v>0.1</v>
      </c>
      <c r="L59" s="9" t="n">
        <v>17.77</v>
      </c>
      <c r="M59" s="9" t="n">
        <v>2025</v>
      </c>
    </row>
    <row r="60" customFormat="false" ht="15" hidden="false" customHeight="true" outlineLevel="0" collapsed="false">
      <c r="A60" s="9" t="s">
        <v>293</v>
      </c>
      <c r="B60" s="9" t="s">
        <v>294</v>
      </c>
      <c r="C60" s="9" t="s">
        <v>98</v>
      </c>
      <c r="D60" s="9" t="s">
        <v>71</v>
      </c>
      <c r="E60" s="9" t="s">
        <v>49</v>
      </c>
      <c r="F60" s="9" t="s">
        <v>129</v>
      </c>
      <c r="G60" s="9" t="s">
        <v>295</v>
      </c>
      <c r="H60" s="9" t="s">
        <v>43</v>
      </c>
      <c r="I60" s="9" t="n">
        <v>2</v>
      </c>
      <c r="J60" s="9" t="n">
        <v>580.26</v>
      </c>
      <c r="K60" s="9" t="n">
        <v>0.2</v>
      </c>
      <c r="L60" s="9" t="n">
        <v>98.33</v>
      </c>
      <c r="M60" s="9" t="n">
        <v>2024</v>
      </c>
    </row>
    <row r="61" customFormat="false" ht="15" hidden="false" customHeight="true" outlineLevel="0" collapsed="false">
      <c r="A61" s="9" t="s">
        <v>107</v>
      </c>
      <c r="B61" s="9" t="s">
        <v>108</v>
      </c>
      <c r="C61" s="9" t="s">
        <v>47</v>
      </c>
      <c r="D61" s="9" t="s">
        <v>39</v>
      </c>
      <c r="E61" s="9" t="s">
        <v>65</v>
      </c>
      <c r="F61" s="9" t="s">
        <v>109</v>
      </c>
      <c r="G61" s="9" t="s">
        <v>110</v>
      </c>
      <c r="H61" s="9" t="s">
        <v>82</v>
      </c>
      <c r="I61" s="9" t="n">
        <v>4</v>
      </c>
      <c r="J61" s="9" t="n">
        <v>2023.8</v>
      </c>
      <c r="K61" s="9" t="n">
        <v>0.15</v>
      </c>
      <c r="L61" s="9" t="n">
        <v>164.65</v>
      </c>
      <c r="M61" s="9" t="n">
        <v>2024</v>
      </c>
    </row>
    <row r="62" customFormat="false" ht="15" hidden="false" customHeight="true" outlineLevel="0" collapsed="false">
      <c r="A62" s="9" t="s">
        <v>83</v>
      </c>
      <c r="B62" s="9" t="s">
        <v>84</v>
      </c>
      <c r="C62" s="9" t="s">
        <v>58</v>
      </c>
      <c r="D62" s="9" t="s">
        <v>64</v>
      </c>
      <c r="E62" s="9" t="s">
        <v>49</v>
      </c>
      <c r="F62" s="9" t="s">
        <v>50</v>
      </c>
      <c r="G62" s="9" t="s">
        <v>85</v>
      </c>
      <c r="H62" s="9" t="s">
        <v>82</v>
      </c>
      <c r="I62" s="9" t="n">
        <v>6</v>
      </c>
      <c r="J62" s="9" t="n">
        <v>678.96</v>
      </c>
      <c r="K62" s="9" t="n">
        <v>0.15</v>
      </c>
      <c r="L62" s="9" t="n">
        <v>195.71</v>
      </c>
      <c r="M62" s="9" t="n">
        <v>2024</v>
      </c>
    </row>
    <row r="63" customFormat="false" ht="15" hidden="false" customHeight="true" outlineLevel="0" collapsed="false">
      <c r="A63" s="9" t="s">
        <v>196</v>
      </c>
      <c r="B63" s="9" t="s">
        <v>197</v>
      </c>
      <c r="C63" s="9" t="s">
        <v>47</v>
      </c>
      <c r="D63" s="9" t="s">
        <v>39</v>
      </c>
      <c r="E63" s="9" t="s">
        <v>65</v>
      </c>
      <c r="F63" s="9" t="s">
        <v>76</v>
      </c>
      <c r="G63" s="9" t="s">
        <v>198</v>
      </c>
      <c r="H63" s="9" t="s">
        <v>43</v>
      </c>
      <c r="I63" s="9" t="n">
        <v>10</v>
      </c>
      <c r="J63" s="9" t="n">
        <v>4112.5</v>
      </c>
      <c r="K63" s="9" t="n">
        <v>0.1</v>
      </c>
      <c r="L63" s="9" t="n">
        <v>625.5</v>
      </c>
      <c r="M63" s="9" t="n">
        <v>2024</v>
      </c>
    </row>
    <row r="64" customFormat="false" ht="15" hidden="false" customHeight="true" outlineLevel="0" collapsed="false">
      <c r="A64" s="9" t="s">
        <v>396</v>
      </c>
      <c r="B64" s="9" t="s">
        <v>397</v>
      </c>
      <c r="C64" s="9" t="s">
        <v>358</v>
      </c>
      <c r="D64" s="9" t="s">
        <v>64</v>
      </c>
      <c r="E64" s="9" t="s">
        <v>65</v>
      </c>
      <c r="F64" s="9" t="s">
        <v>109</v>
      </c>
      <c r="G64" s="9" t="s">
        <v>398</v>
      </c>
      <c r="H64" s="9" t="s">
        <v>82</v>
      </c>
      <c r="I64" s="9" t="n">
        <v>11</v>
      </c>
      <c r="J64" s="9" t="n">
        <v>4028.64</v>
      </c>
      <c r="K64" s="9" t="n">
        <v>0</v>
      </c>
      <c r="L64" s="9" t="n">
        <v>1163.75</v>
      </c>
      <c r="M64" s="9" t="n">
        <v>2024</v>
      </c>
    </row>
    <row r="65" customFormat="false" ht="15" hidden="false" customHeight="true" outlineLevel="0" collapsed="false">
      <c r="A65" s="9" t="s">
        <v>86</v>
      </c>
      <c r="B65" s="9" t="s">
        <v>87</v>
      </c>
      <c r="C65" s="9" t="s">
        <v>88</v>
      </c>
      <c r="D65" s="9" t="s">
        <v>48</v>
      </c>
      <c r="E65" s="9" t="s">
        <v>65</v>
      </c>
      <c r="F65" s="9" t="s">
        <v>66</v>
      </c>
      <c r="G65" s="9" t="s">
        <v>89</v>
      </c>
      <c r="H65" s="9" t="s">
        <v>82</v>
      </c>
      <c r="I65" s="9" t="n">
        <v>9</v>
      </c>
      <c r="J65" s="9" t="n">
        <v>3544.29</v>
      </c>
      <c r="K65" s="9" t="n">
        <v>0</v>
      </c>
      <c r="L65" s="9" t="n">
        <v>1080.56</v>
      </c>
      <c r="M65" s="9" t="n">
        <v>2023</v>
      </c>
    </row>
    <row r="66" customFormat="false" ht="15" hidden="false" customHeight="true" outlineLevel="0" collapsed="false">
      <c r="A66" s="9" t="s">
        <v>405</v>
      </c>
      <c r="B66" s="9" t="s">
        <v>406</v>
      </c>
      <c r="C66" s="9" t="s">
        <v>58</v>
      </c>
      <c r="D66" s="9" t="s">
        <v>71</v>
      </c>
      <c r="E66" s="9" t="s">
        <v>49</v>
      </c>
      <c r="F66" s="9" t="s">
        <v>50</v>
      </c>
      <c r="G66" s="9" t="s">
        <v>407</v>
      </c>
      <c r="H66" s="9" t="s">
        <v>43</v>
      </c>
      <c r="I66" s="9" t="n">
        <v>7</v>
      </c>
      <c r="J66" s="9" t="n">
        <v>826.28</v>
      </c>
      <c r="K66" s="9" t="n">
        <v>0.15</v>
      </c>
      <c r="L66" s="9" t="n">
        <v>238.54</v>
      </c>
      <c r="M66" s="9" t="n">
        <v>2023</v>
      </c>
    </row>
    <row r="67" customFormat="false" ht="15" hidden="false" customHeight="true" outlineLevel="0" collapsed="false">
      <c r="A67" s="9" t="s">
        <v>53</v>
      </c>
      <c r="B67" s="9" t="s">
        <v>54</v>
      </c>
      <c r="C67" s="9" t="s">
        <v>608</v>
      </c>
      <c r="D67" s="9" t="s">
        <v>48</v>
      </c>
      <c r="E67" s="9" t="s">
        <v>40</v>
      </c>
      <c r="F67" s="9" t="s">
        <v>41</v>
      </c>
      <c r="G67" s="9" t="s">
        <v>55</v>
      </c>
      <c r="H67" s="9" t="s">
        <v>43</v>
      </c>
      <c r="I67" s="9" t="n">
        <v>4</v>
      </c>
      <c r="J67" s="9" t="n">
        <v>2003.92</v>
      </c>
      <c r="K67" s="9" t="n">
        <v>0</v>
      </c>
      <c r="L67" s="9" t="n">
        <v>267.88</v>
      </c>
      <c r="M67" s="9" t="n">
        <v>2024</v>
      </c>
    </row>
    <row r="68" customFormat="false" ht="15" hidden="false" customHeight="true" outlineLevel="0" collapsed="false">
      <c r="A68" s="9" t="s">
        <v>416</v>
      </c>
      <c r="B68" s="9" t="s">
        <v>417</v>
      </c>
      <c r="C68" s="9" t="s">
        <v>63</v>
      </c>
      <c r="D68" s="9" t="s">
        <v>48</v>
      </c>
      <c r="E68" s="9" t="s">
        <v>65</v>
      </c>
      <c r="F68" s="9" t="s">
        <v>80</v>
      </c>
      <c r="G68" s="9" t="s">
        <v>418</v>
      </c>
      <c r="H68" s="9" t="s">
        <v>82</v>
      </c>
      <c r="I68" s="9" t="n">
        <v>8</v>
      </c>
      <c r="J68" s="9" t="n">
        <v>4102.48</v>
      </c>
      <c r="K68" s="9" t="n">
        <v>0</v>
      </c>
      <c r="L68" s="9" t="n">
        <v>805.17</v>
      </c>
      <c r="M68" s="9" t="n">
        <v>2023</v>
      </c>
    </row>
    <row r="69" customFormat="false" ht="15" hidden="false" customHeight="true" outlineLevel="0" collapsed="false">
      <c r="A69" s="9" t="s">
        <v>410</v>
      </c>
      <c r="B69" s="9" t="s">
        <v>411</v>
      </c>
      <c r="C69" s="9" t="s">
        <v>47</v>
      </c>
      <c r="D69" s="9" t="s">
        <v>71</v>
      </c>
      <c r="E69" s="9" t="s">
        <v>49</v>
      </c>
      <c r="F69" s="9" t="s">
        <v>129</v>
      </c>
      <c r="G69" s="9" t="s">
        <v>412</v>
      </c>
      <c r="H69" s="9" t="s">
        <v>43</v>
      </c>
      <c r="I69" s="9" t="n">
        <v>4</v>
      </c>
      <c r="J69" s="9" t="n">
        <v>260.32</v>
      </c>
      <c r="K69" s="9" t="n">
        <v>0.2</v>
      </c>
      <c r="L69" s="9" t="n">
        <v>35.81</v>
      </c>
      <c r="M69" s="9" t="n">
        <v>2025</v>
      </c>
    </row>
    <row r="70" customFormat="false" ht="15" hidden="false" customHeight="true" outlineLevel="0" collapsed="false">
      <c r="A70" s="9" t="s">
        <v>78</v>
      </c>
      <c r="B70" s="9" t="s">
        <v>79</v>
      </c>
      <c r="C70" s="9" t="s">
        <v>58</v>
      </c>
      <c r="D70" s="9" t="s">
        <v>48</v>
      </c>
      <c r="E70" s="9" t="s">
        <v>65</v>
      </c>
      <c r="F70" s="9" t="s">
        <v>80</v>
      </c>
      <c r="G70" s="9" t="s">
        <v>81</v>
      </c>
      <c r="H70" s="9" t="s">
        <v>82</v>
      </c>
      <c r="I70" s="9" t="n">
        <v>2</v>
      </c>
      <c r="J70" s="9" t="n">
        <v>374.26</v>
      </c>
      <c r="K70" s="9" t="n">
        <v>0.1</v>
      </c>
      <c r="L70" s="9" t="n">
        <v>86.75</v>
      </c>
      <c r="M70" s="9" t="n">
        <v>2023</v>
      </c>
    </row>
    <row r="71" customFormat="false" ht="15" hidden="false" customHeight="true" outlineLevel="0" collapsed="false">
      <c r="A71" s="9" t="s">
        <v>551</v>
      </c>
      <c r="B71" s="9" t="s">
        <v>132</v>
      </c>
      <c r="C71" s="9" t="s">
        <v>98</v>
      </c>
      <c r="D71" s="9" t="s">
        <v>71</v>
      </c>
      <c r="E71" s="9" t="s">
        <v>40</v>
      </c>
      <c r="F71" s="9" t="s">
        <v>143</v>
      </c>
      <c r="G71" s="9" t="s">
        <v>552</v>
      </c>
      <c r="H71" s="9" t="s">
        <v>43</v>
      </c>
      <c r="I71" s="9" t="n">
        <v>6</v>
      </c>
      <c r="J71" s="9" t="n">
        <v>2557.02</v>
      </c>
      <c r="K71" s="9" t="n">
        <v>0</v>
      </c>
      <c r="L71" s="9" t="n">
        <v>363.06</v>
      </c>
      <c r="M71" s="9" t="n">
        <v>2024</v>
      </c>
    </row>
    <row r="72" customFormat="false" ht="15" hidden="false" customHeight="true" outlineLevel="0" collapsed="false">
      <c r="A72" s="9" t="s">
        <v>408</v>
      </c>
      <c r="B72" s="9" t="s">
        <v>385</v>
      </c>
      <c r="C72" s="9" t="s">
        <v>128</v>
      </c>
      <c r="D72" s="9" t="s">
        <v>39</v>
      </c>
      <c r="E72" s="9" t="s">
        <v>65</v>
      </c>
      <c r="F72" s="9" t="s">
        <v>76</v>
      </c>
      <c r="G72" s="9" t="s">
        <v>409</v>
      </c>
      <c r="H72" s="9" t="s">
        <v>43</v>
      </c>
      <c r="I72" s="9" t="n">
        <v>7</v>
      </c>
      <c r="J72" s="9" t="n">
        <v>1788.32</v>
      </c>
      <c r="K72" s="9" t="n">
        <v>0</v>
      </c>
      <c r="L72" s="9" t="n">
        <v>478.15</v>
      </c>
      <c r="M72" s="9" t="n">
        <v>2024</v>
      </c>
    </row>
    <row r="73" customFormat="false" ht="15" hidden="false" customHeight="true" outlineLevel="0" collapsed="false">
      <c r="A73" s="9" t="s">
        <v>260</v>
      </c>
      <c r="B73" s="9" t="s">
        <v>261</v>
      </c>
      <c r="C73" s="9" t="s">
        <v>165</v>
      </c>
      <c r="D73" s="9" t="s">
        <v>64</v>
      </c>
      <c r="E73" s="9" t="s">
        <v>40</v>
      </c>
      <c r="F73" s="9" t="s">
        <v>143</v>
      </c>
      <c r="G73" s="9" t="s">
        <v>262</v>
      </c>
      <c r="H73" s="9" t="s">
        <v>52</v>
      </c>
      <c r="I73" s="9" t="n">
        <v>6</v>
      </c>
      <c r="J73" s="9" t="n">
        <v>719.82</v>
      </c>
      <c r="K73" s="9" t="n">
        <v>0</v>
      </c>
      <c r="L73" s="9" t="n">
        <v>188.88</v>
      </c>
      <c r="M73" s="9" t="n">
        <v>2024</v>
      </c>
    </row>
    <row r="74" customFormat="false" ht="15" hidden="false" customHeight="true" outlineLevel="0" collapsed="false">
      <c r="A74" s="9" t="s">
        <v>275</v>
      </c>
      <c r="B74" s="9" t="s">
        <v>276</v>
      </c>
      <c r="C74" s="9" t="s">
        <v>113</v>
      </c>
      <c r="D74" s="9" t="s">
        <v>71</v>
      </c>
      <c r="E74" s="9" t="s">
        <v>49</v>
      </c>
      <c r="F74" s="9" t="s">
        <v>50</v>
      </c>
      <c r="G74" s="9" t="s">
        <v>277</v>
      </c>
      <c r="H74" s="9" t="s">
        <v>52</v>
      </c>
      <c r="I74" s="9" t="n">
        <v>2</v>
      </c>
      <c r="J74" s="9" t="n">
        <v>1051.08</v>
      </c>
      <c r="K74" s="9" t="n">
        <v>0.15</v>
      </c>
      <c r="L74" s="9" t="n">
        <v>120.88</v>
      </c>
      <c r="M74" s="9" t="n">
        <v>2025</v>
      </c>
    </row>
    <row r="75" customFormat="false" ht="15" hidden="false" customHeight="true" outlineLevel="0" collapsed="false">
      <c r="A75" s="9" t="s">
        <v>506</v>
      </c>
      <c r="B75" s="9" t="s">
        <v>507</v>
      </c>
      <c r="C75" s="9" t="s">
        <v>161</v>
      </c>
      <c r="D75" s="9" t="s">
        <v>39</v>
      </c>
      <c r="E75" s="9" t="s">
        <v>49</v>
      </c>
      <c r="F75" s="9" t="s">
        <v>129</v>
      </c>
      <c r="G75" s="9" t="s">
        <v>508</v>
      </c>
      <c r="H75" s="9" t="s">
        <v>52</v>
      </c>
      <c r="I75" s="9" t="n">
        <v>2</v>
      </c>
      <c r="J75" s="9" t="n">
        <v>991.88</v>
      </c>
      <c r="K75" s="9" t="n">
        <v>0.1</v>
      </c>
      <c r="L75" s="9" t="n">
        <v>176.33</v>
      </c>
      <c r="M75" s="9" t="n">
        <v>2025</v>
      </c>
    </row>
    <row r="76" customFormat="false" ht="15" hidden="false" customHeight="true" outlineLevel="0" collapsed="false">
      <c r="A76" s="9" t="s">
        <v>582</v>
      </c>
      <c r="B76" s="9" t="s">
        <v>583</v>
      </c>
      <c r="C76" s="9" t="s">
        <v>165</v>
      </c>
      <c r="D76" s="9" t="s">
        <v>64</v>
      </c>
      <c r="E76" s="9" t="s">
        <v>40</v>
      </c>
      <c r="F76" s="9" t="s">
        <v>59</v>
      </c>
      <c r="G76" s="9" t="s">
        <v>584</v>
      </c>
      <c r="H76" s="9" t="s">
        <v>52</v>
      </c>
      <c r="I76" s="9" t="n">
        <v>4</v>
      </c>
      <c r="J76" s="9" t="n">
        <v>337.16</v>
      </c>
      <c r="K76" s="9" t="n">
        <v>0.3</v>
      </c>
      <c r="L76" s="9" t="n">
        <v>41.27</v>
      </c>
      <c r="M76" s="9" t="n">
        <v>2023</v>
      </c>
    </row>
    <row r="77" customFormat="false" ht="15" hidden="false" customHeight="true" outlineLevel="0" collapsed="false">
      <c r="A77" s="9" t="s">
        <v>565</v>
      </c>
      <c r="B77" s="9" t="s">
        <v>566</v>
      </c>
      <c r="C77" s="9" t="s">
        <v>58</v>
      </c>
      <c r="D77" s="9" t="s">
        <v>48</v>
      </c>
      <c r="E77" s="9" t="s">
        <v>40</v>
      </c>
      <c r="F77" s="9" t="s">
        <v>173</v>
      </c>
      <c r="G77" s="9" t="s">
        <v>567</v>
      </c>
      <c r="H77" s="9" t="s">
        <v>82</v>
      </c>
      <c r="I77" s="9" t="n">
        <v>5</v>
      </c>
      <c r="J77" s="9" t="n">
        <v>2591</v>
      </c>
      <c r="K77" s="9" t="n">
        <v>0.1</v>
      </c>
      <c r="L77" s="9" t="n">
        <v>330.23</v>
      </c>
      <c r="M77" s="9" t="n">
        <v>2025</v>
      </c>
    </row>
    <row r="78" customFormat="false" ht="15" hidden="false" customHeight="true" outlineLevel="0" collapsed="false">
      <c r="A78" s="9" t="s">
        <v>372</v>
      </c>
      <c r="B78" s="9" t="s">
        <v>373</v>
      </c>
      <c r="C78" s="9" t="s">
        <v>161</v>
      </c>
      <c r="D78" s="9" t="s">
        <v>64</v>
      </c>
      <c r="E78" s="9" t="s">
        <v>65</v>
      </c>
      <c r="F78" s="9" t="s">
        <v>109</v>
      </c>
      <c r="G78" s="9" t="s">
        <v>374</v>
      </c>
      <c r="H78" s="9" t="s">
        <v>52</v>
      </c>
      <c r="I78" s="9" t="n">
        <v>7</v>
      </c>
      <c r="J78" s="9" t="n">
        <v>465.96</v>
      </c>
      <c r="K78" s="9" t="n">
        <v>0.15</v>
      </c>
      <c r="L78" s="9" t="n">
        <v>28.72</v>
      </c>
      <c r="M78" s="9" t="n">
        <v>2023</v>
      </c>
    </row>
    <row r="79" customFormat="false" ht="15" hidden="false" customHeight="true" outlineLevel="0" collapsed="false">
      <c r="A79" s="9" t="s">
        <v>422</v>
      </c>
      <c r="B79" s="9" t="s">
        <v>423</v>
      </c>
      <c r="C79" s="9" t="s">
        <v>165</v>
      </c>
      <c r="D79" s="9" t="s">
        <v>48</v>
      </c>
      <c r="E79" s="9" t="s">
        <v>49</v>
      </c>
      <c r="F79" s="9" t="s">
        <v>207</v>
      </c>
      <c r="G79" s="9" t="s">
        <v>424</v>
      </c>
      <c r="H79" s="9" t="s">
        <v>82</v>
      </c>
      <c r="I79" s="9" t="n">
        <v>4</v>
      </c>
      <c r="J79" s="9" t="n">
        <v>734.16</v>
      </c>
      <c r="K79" s="9" t="n">
        <v>0</v>
      </c>
      <c r="L79" s="9" t="n">
        <v>191.54</v>
      </c>
      <c r="M79" s="9" t="n">
        <v>2023</v>
      </c>
    </row>
    <row r="80" customFormat="false" ht="15" hidden="false" customHeight="true" outlineLevel="0" collapsed="false">
      <c r="A80" s="9" t="s">
        <v>353</v>
      </c>
      <c r="B80" s="9" t="s">
        <v>354</v>
      </c>
      <c r="C80" s="9" t="s">
        <v>98</v>
      </c>
      <c r="D80" s="9" t="s">
        <v>64</v>
      </c>
      <c r="E80" s="9" t="s">
        <v>65</v>
      </c>
      <c r="F80" s="9" t="s">
        <v>76</v>
      </c>
      <c r="G80" s="9" t="s">
        <v>355</v>
      </c>
      <c r="H80" s="9" t="s">
        <v>43</v>
      </c>
      <c r="I80" s="9" t="n">
        <v>9</v>
      </c>
      <c r="J80" s="9" t="n">
        <v>1318.59</v>
      </c>
      <c r="K80" s="9" t="n">
        <v>0</v>
      </c>
      <c r="L80" s="9" t="n">
        <v>425.28</v>
      </c>
      <c r="M80" s="9" t="n">
        <v>2023</v>
      </c>
    </row>
    <row r="81" customFormat="false" ht="15" hidden="false" customHeight="true" outlineLevel="0" collapsed="false">
      <c r="A81" s="9" t="s">
        <v>178</v>
      </c>
      <c r="B81" s="9" t="s">
        <v>179</v>
      </c>
      <c r="C81" s="9" t="s">
        <v>165</v>
      </c>
      <c r="D81" s="9" t="s">
        <v>64</v>
      </c>
      <c r="E81" s="9" t="s">
        <v>65</v>
      </c>
      <c r="F81" s="9" t="s">
        <v>109</v>
      </c>
      <c r="G81" s="9" t="s">
        <v>180</v>
      </c>
      <c r="H81" s="9" t="s">
        <v>52</v>
      </c>
      <c r="I81" s="9" t="n">
        <v>8</v>
      </c>
      <c r="J81" s="9" t="n">
        <v>702</v>
      </c>
      <c r="K81" s="9" t="n">
        <v>0.2</v>
      </c>
      <c r="L81" s="9" t="n">
        <v>79.31</v>
      </c>
      <c r="M81" s="9" t="n">
        <v>2024</v>
      </c>
    </row>
    <row r="82" customFormat="false" ht="15" hidden="false" customHeight="true" outlineLevel="0" collapsed="false">
      <c r="A82" s="9" t="s">
        <v>431</v>
      </c>
      <c r="B82" s="9" t="s">
        <v>432</v>
      </c>
      <c r="C82" s="9" t="s">
        <v>58</v>
      </c>
      <c r="D82" s="9" t="s">
        <v>48</v>
      </c>
      <c r="E82" s="9" t="s">
        <v>49</v>
      </c>
      <c r="F82" s="9" t="s">
        <v>258</v>
      </c>
      <c r="G82" s="9" t="s">
        <v>433</v>
      </c>
      <c r="H82" s="9" t="s">
        <v>82</v>
      </c>
      <c r="I82" s="9" t="n">
        <v>7</v>
      </c>
      <c r="J82" s="9" t="n">
        <v>383.2</v>
      </c>
      <c r="K82" s="9" t="n">
        <v>0.1</v>
      </c>
      <c r="L82" s="9" t="n">
        <v>93.24</v>
      </c>
      <c r="M82" s="9" t="n">
        <v>2023</v>
      </c>
    </row>
    <row r="83" customFormat="false" ht="15" hidden="false" customHeight="true" outlineLevel="0" collapsed="false">
      <c r="A83" s="9" t="s">
        <v>320</v>
      </c>
      <c r="B83" s="9" t="s">
        <v>321</v>
      </c>
      <c r="C83" s="9" t="s">
        <v>47</v>
      </c>
      <c r="D83" s="9" t="s">
        <v>64</v>
      </c>
      <c r="E83" s="9" t="s">
        <v>49</v>
      </c>
      <c r="F83" s="9" t="s">
        <v>50</v>
      </c>
      <c r="G83" s="9" t="s">
        <v>322</v>
      </c>
      <c r="H83" s="9" t="s">
        <v>52</v>
      </c>
      <c r="I83" s="9" t="n">
        <v>10</v>
      </c>
      <c r="J83" s="9" t="n">
        <v>385.4</v>
      </c>
      <c r="K83" s="9" t="n">
        <v>0.3</v>
      </c>
      <c r="L83" s="9" t="n">
        <v>27.67</v>
      </c>
      <c r="M83" s="9" t="n">
        <v>2024</v>
      </c>
    </row>
    <row r="84" customFormat="false" ht="15" hidden="false" customHeight="true" outlineLevel="0" collapsed="false">
      <c r="A84" s="9" t="s">
        <v>96</v>
      </c>
      <c r="B84" s="9" t="s">
        <v>97</v>
      </c>
      <c r="C84" s="9" t="s">
        <v>98</v>
      </c>
      <c r="D84" s="9" t="s">
        <v>64</v>
      </c>
      <c r="E84" s="9" t="s">
        <v>40</v>
      </c>
      <c r="F84" s="9" t="s">
        <v>41</v>
      </c>
      <c r="G84" s="9" t="s">
        <v>99</v>
      </c>
      <c r="H84" s="9" t="s">
        <v>43</v>
      </c>
      <c r="I84" s="9" t="n">
        <v>2</v>
      </c>
      <c r="J84" s="9" t="n">
        <v>579.92</v>
      </c>
      <c r="K84" s="9" t="n">
        <v>0.1</v>
      </c>
      <c r="L84" s="9" t="n">
        <v>78.29</v>
      </c>
      <c r="M84" s="9" t="n">
        <v>2025</v>
      </c>
    </row>
    <row r="85" customFormat="false" ht="15" hidden="false" customHeight="true" outlineLevel="0" collapsed="false">
      <c r="A85" s="9" t="s">
        <v>73</v>
      </c>
      <c r="B85" s="9" t="s">
        <v>74</v>
      </c>
      <c r="C85" s="9" t="s">
        <v>75</v>
      </c>
      <c r="D85" s="9" t="s">
        <v>48</v>
      </c>
      <c r="E85" s="9" t="s">
        <v>65</v>
      </c>
      <c r="F85" s="9" t="s">
        <v>76</v>
      </c>
      <c r="G85" s="9" t="s">
        <v>77</v>
      </c>
      <c r="H85" s="9" t="s">
        <v>43</v>
      </c>
      <c r="I85" s="9" t="n">
        <v>11</v>
      </c>
      <c r="J85" s="9" t="n">
        <v>6247.34</v>
      </c>
      <c r="K85" s="9" t="n">
        <v>0.3</v>
      </c>
      <c r="L85" s="9" t="n">
        <v>1216.39</v>
      </c>
      <c r="M85" s="9" t="n">
        <v>2024</v>
      </c>
    </row>
    <row r="86" customFormat="false" ht="15" hidden="false" customHeight="true" outlineLevel="0" collapsed="false">
      <c r="A86" s="9" t="s">
        <v>120</v>
      </c>
      <c r="B86" s="9" t="s">
        <v>121</v>
      </c>
      <c r="C86" s="9" t="s">
        <v>63</v>
      </c>
      <c r="D86" s="9" t="s">
        <v>71</v>
      </c>
      <c r="E86" s="9" t="s">
        <v>49</v>
      </c>
      <c r="F86" s="9" t="s">
        <v>50</v>
      </c>
      <c r="G86" s="9" t="s">
        <v>122</v>
      </c>
      <c r="H86" s="9" t="s">
        <v>43</v>
      </c>
      <c r="I86" s="9" t="n">
        <v>7</v>
      </c>
      <c r="J86" s="9" t="n">
        <v>3646.79</v>
      </c>
      <c r="K86" s="9" t="n">
        <v>0.3</v>
      </c>
      <c r="L86" s="9" t="n">
        <v>884.36</v>
      </c>
      <c r="M86" s="9" t="n">
        <v>2023</v>
      </c>
    </row>
    <row r="87" customFormat="false" ht="15" hidden="false" customHeight="true" outlineLevel="0" collapsed="false">
      <c r="A87" s="9" t="s">
        <v>440</v>
      </c>
      <c r="B87" s="9" t="s">
        <v>441</v>
      </c>
      <c r="C87" s="9" t="s">
        <v>70</v>
      </c>
      <c r="D87" s="9" t="s">
        <v>39</v>
      </c>
      <c r="E87" s="9" t="s">
        <v>40</v>
      </c>
      <c r="F87" s="9" t="s">
        <v>41</v>
      </c>
      <c r="G87" s="9" t="s">
        <v>442</v>
      </c>
      <c r="H87" s="9" t="s">
        <v>43</v>
      </c>
      <c r="I87" s="9" t="n">
        <v>6</v>
      </c>
      <c r="J87" s="9" t="n">
        <v>1454.96</v>
      </c>
      <c r="K87" s="9" t="n">
        <v>0.1</v>
      </c>
      <c r="L87" s="9" t="n">
        <v>486.63</v>
      </c>
      <c r="M87" s="9" t="n">
        <v>2025</v>
      </c>
    </row>
    <row r="88" customFormat="false" ht="15" hidden="false" customHeight="true" outlineLevel="0" collapsed="false">
      <c r="A88" s="9" t="s">
        <v>163</v>
      </c>
      <c r="B88" s="9" t="s">
        <v>164</v>
      </c>
      <c r="C88" s="9" t="s">
        <v>165</v>
      </c>
      <c r="D88" s="9" t="s">
        <v>64</v>
      </c>
      <c r="E88" s="9" t="s">
        <v>65</v>
      </c>
      <c r="F88" s="9" t="s">
        <v>76</v>
      </c>
      <c r="G88" s="9" t="s">
        <v>166</v>
      </c>
      <c r="H88" s="9" t="s">
        <v>43</v>
      </c>
      <c r="I88" s="9" t="n">
        <v>12</v>
      </c>
      <c r="J88" s="9" t="n">
        <v>3582.72</v>
      </c>
      <c r="K88" s="9" t="n">
        <v>0</v>
      </c>
      <c r="L88" s="9" t="n">
        <v>1225.09</v>
      </c>
      <c r="M88" s="9" t="n">
        <v>2025</v>
      </c>
    </row>
    <row r="89" customFormat="false" ht="15" hidden="false" customHeight="true" outlineLevel="0" collapsed="false">
      <c r="A89" s="9" t="s">
        <v>457</v>
      </c>
      <c r="B89" s="9" t="s">
        <v>458</v>
      </c>
      <c r="C89" s="9" t="s">
        <v>98</v>
      </c>
      <c r="D89" s="9" t="s">
        <v>39</v>
      </c>
      <c r="E89" s="9" t="s">
        <v>65</v>
      </c>
      <c r="F89" s="9" t="s">
        <v>76</v>
      </c>
      <c r="G89" s="9" t="s">
        <v>459</v>
      </c>
      <c r="H89" s="9" t="s">
        <v>43</v>
      </c>
      <c r="I89" s="9" t="n">
        <v>4</v>
      </c>
      <c r="J89" s="9" t="n">
        <v>2381.88</v>
      </c>
      <c r="K89" s="9" t="n">
        <v>0</v>
      </c>
      <c r="L89" s="9" t="n">
        <v>448.83</v>
      </c>
      <c r="M89" s="9" t="n">
        <v>2023</v>
      </c>
    </row>
    <row r="90" customFormat="false" ht="15" hidden="false" customHeight="true" outlineLevel="0" collapsed="false">
      <c r="A90" s="9" t="s">
        <v>488</v>
      </c>
      <c r="B90" s="9" t="s">
        <v>489</v>
      </c>
      <c r="C90" s="9" t="s">
        <v>161</v>
      </c>
      <c r="D90" s="9" t="s">
        <v>71</v>
      </c>
      <c r="E90" s="9" t="s">
        <v>40</v>
      </c>
      <c r="F90" s="9" t="s">
        <v>173</v>
      </c>
      <c r="G90" s="9" t="s">
        <v>490</v>
      </c>
      <c r="H90" s="9" t="s">
        <v>43</v>
      </c>
      <c r="I90" s="9" t="n">
        <v>8</v>
      </c>
      <c r="J90" s="9" t="n">
        <v>4707.52</v>
      </c>
      <c r="K90" s="9" t="n">
        <v>0</v>
      </c>
      <c r="L90" s="9" t="n">
        <v>880.48</v>
      </c>
      <c r="M90" s="9" t="n">
        <v>2025</v>
      </c>
    </row>
    <row r="91" customFormat="false" ht="15" hidden="false" customHeight="true" outlineLevel="0" collapsed="false">
      <c r="A91" s="9" t="s">
        <v>238</v>
      </c>
      <c r="B91" s="9" t="s">
        <v>239</v>
      </c>
      <c r="C91" s="9" t="s">
        <v>38</v>
      </c>
      <c r="D91" s="9" t="s">
        <v>64</v>
      </c>
      <c r="E91" s="9" t="s">
        <v>49</v>
      </c>
      <c r="F91" s="9" t="s">
        <v>225</v>
      </c>
      <c r="G91" s="9" t="s">
        <v>240</v>
      </c>
      <c r="H91" s="9" t="s">
        <v>82</v>
      </c>
      <c r="I91" s="9" t="n">
        <v>7</v>
      </c>
      <c r="J91" s="9" t="n">
        <v>1496.81</v>
      </c>
      <c r="K91" s="9" t="n">
        <v>0.3</v>
      </c>
      <c r="L91" s="9" t="n">
        <v>211.99</v>
      </c>
      <c r="M91" s="9" t="n">
        <v>2024</v>
      </c>
    </row>
    <row r="92" customFormat="false" ht="15" hidden="false" customHeight="true" outlineLevel="0" collapsed="false">
      <c r="A92" s="9" t="s">
        <v>360</v>
      </c>
      <c r="B92" s="9" t="s">
        <v>361</v>
      </c>
      <c r="C92" s="9" t="s">
        <v>75</v>
      </c>
      <c r="D92" s="9" t="s">
        <v>71</v>
      </c>
      <c r="E92" s="9" t="s">
        <v>65</v>
      </c>
      <c r="F92" s="9" t="s">
        <v>66</v>
      </c>
      <c r="G92" s="9" t="s">
        <v>362</v>
      </c>
      <c r="H92" s="9" t="s">
        <v>82</v>
      </c>
      <c r="I92" s="9" t="n">
        <v>7</v>
      </c>
      <c r="J92" s="9" t="n">
        <v>2640.56</v>
      </c>
      <c r="K92" s="9" t="n">
        <v>0</v>
      </c>
      <c r="L92" s="9" t="n">
        <v>395.38</v>
      </c>
      <c r="M92" s="9" t="n">
        <v>2023</v>
      </c>
    </row>
    <row r="93" customFormat="false" ht="15" hidden="false" customHeight="true" outlineLevel="0" collapsed="false">
      <c r="A93" s="9" t="s">
        <v>68</v>
      </c>
      <c r="B93" s="9" t="s">
        <v>69</v>
      </c>
      <c r="C93" s="9" t="s">
        <v>70</v>
      </c>
      <c r="D93" s="9" t="s">
        <v>71</v>
      </c>
      <c r="E93" s="9" t="s">
        <v>40</v>
      </c>
      <c r="F93" s="9" t="s">
        <v>41</v>
      </c>
      <c r="G93" s="9" t="s">
        <v>72</v>
      </c>
      <c r="H93" s="9" t="s">
        <v>43</v>
      </c>
      <c r="I93" s="9" t="n">
        <v>10</v>
      </c>
      <c r="J93" s="9" t="n">
        <v>2390.4</v>
      </c>
      <c r="K93" s="9" t="n">
        <v>0.3</v>
      </c>
      <c r="L93" s="9" t="n">
        <v>472.97</v>
      </c>
      <c r="M93" s="9" t="n">
        <v>2024</v>
      </c>
    </row>
    <row r="94" customFormat="false" ht="15" hidden="false" customHeight="true" outlineLevel="0" collapsed="false">
      <c r="A94" s="9" t="s">
        <v>588</v>
      </c>
      <c r="B94" s="9" t="s">
        <v>589</v>
      </c>
      <c r="C94" s="9" t="s">
        <v>142</v>
      </c>
      <c r="D94" s="9" t="s">
        <v>48</v>
      </c>
      <c r="E94" s="9" t="s">
        <v>49</v>
      </c>
      <c r="F94" s="9" t="s">
        <v>207</v>
      </c>
      <c r="G94" s="9" t="s">
        <v>590</v>
      </c>
      <c r="H94" s="9" t="s">
        <v>82</v>
      </c>
      <c r="I94" s="9" t="n">
        <v>8</v>
      </c>
      <c r="J94" s="9" t="n">
        <v>4635.36</v>
      </c>
      <c r="K94" s="9" t="n">
        <v>0</v>
      </c>
      <c r="L94" s="9" t="n">
        <v>930.26</v>
      </c>
      <c r="M94" s="9" t="n">
        <v>2023</v>
      </c>
    </row>
    <row r="95" customFormat="false" ht="15" hidden="false" customHeight="true" outlineLevel="0" collapsed="false">
      <c r="A95" s="9" t="s">
        <v>305</v>
      </c>
      <c r="B95" s="9" t="s">
        <v>306</v>
      </c>
      <c r="C95" s="9" t="s">
        <v>58</v>
      </c>
      <c r="D95" s="9" t="s">
        <v>39</v>
      </c>
      <c r="E95" s="9" t="s">
        <v>49</v>
      </c>
      <c r="F95" s="9" t="s">
        <v>50</v>
      </c>
      <c r="G95" s="9" t="s">
        <v>307</v>
      </c>
      <c r="H95" s="9" t="s">
        <v>43</v>
      </c>
      <c r="I95" s="9" t="n">
        <v>12</v>
      </c>
      <c r="J95" s="9" t="n">
        <v>1191.96</v>
      </c>
      <c r="K95" s="9" t="n">
        <v>0.3</v>
      </c>
      <c r="L95" s="9" t="n">
        <v>205.62</v>
      </c>
      <c r="M95" s="9" t="n">
        <v>2023</v>
      </c>
    </row>
    <row r="96" customFormat="false" ht="15" hidden="false" customHeight="true" outlineLevel="0" collapsed="false">
      <c r="A96" s="9" t="s">
        <v>529</v>
      </c>
      <c r="B96" s="9" t="s">
        <v>432</v>
      </c>
      <c r="C96" s="9" t="s">
        <v>142</v>
      </c>
      <c r="D96" s="9" t="s">
        <v>71</v>
      </c>
      <c r="E96" s="9" t="s">
        <v>65</v>
      </c>
      <c r="F96" s="9" t="s">
        <v>80</v>
      </c>
      <c r="G96" s="9" t="s">
        <v>530</v>
      </c>
      <c r="H96" s="9" t="s">
        <v>43</v>
      </c>
      <c r="I96" s="9" t="n">
        <v>6</v>
      </c>
      <c r="J96" s="9" t="n">
        <v>3081.72</v>
      </c>
      <c r="K96" s="9" t="n">
        <v>0.3</v>
      </c>
      <c r="L96" s="9" t="n">
        <v>453.2</v>
      </c>
      <c r="M96" s="9" t="n">
        <v>2023</v>
      </c>
    </row>
    <row r="97" customFormat="false" ht="15" hidden="false" customHeight="true" outlineLevel="0" collapsed="false">
      <c r="A97" s="9" t="s">
        <v>548</v>
      </c>
      <c r="B97" s="9" t="s">
        <v>549</v>
      </c>
      <c r="C97" s="9" t="s">
        <v>38</v>
      </c>
      <c r="D97" s="9" t="s">
        <v>39</v>
      </c>
      <c r="E97" s="9" t="s">
        <v>40</v>
      </c>
      <c r="F97" s="9" t="s">
        <v>41</v>
      </c>
      <c r="G97" s="9" t="s">
        <v>550</v>
      </c>
      <c r="H97" s="9" t="s">
        <v>82</v>
      </c>
      <c r="I97" s="9" t="n">
        <v>11</v>
      </c>
      <c r="J97" s="9" t="n">
        <v>4569.07</v>
      </c>
      <c r="K97" s="9" t="n">
        <v>0</v>
      </c>
      <c r="L97" s="9" t="n">
        <v>1595.65</v>
      </c>
      <c r="M97" s="9" t="n">
        <v>2024</v>
      </c>
    </row>
    <row r="98" customFormat="false" ht="15" hidden="false" customHeight="true" outlineLevel="0" collapsed="false">
      <c r="A98" s="9" t="s">
        <v>402</v>
      </c>
      <c r="B98" s="9" t="s">
        <v>403</v>
      </c>
      <c r="C98" s="9" t="s">
        <v>58</v>
      </c>
      <c r="D98" s="9" t="s">
        <v>39</v>
      </c>
      <c r="E98" s="9" t="s">
        <v>65</v>
      </c>
      <c r="F98" s="9" t="s">
        <v>80</v>
      </c>
      <c r="G98" s="9" t="s">
        <v>404</v>
      </c>
      <c r="H98" s="9" t="s">
        <v>52</v>
      </c>
      <c r="I98" s="9" t="n">
        <v>12</v>
      </c>
      <c r="J98" s="9" t="n">
        <v>2282.28</v>
      </c>
      <c r="K98" s="9" t="n">
        <v>0</v>
      </c>
      <c r="L98" s="9" t="n">
        <v>145.6</v>
      </c>
      <c r="M98" s="9" t="n">
        <v>2023</v>
      </c>
    </row>
    <row r="99" customFormat="false" ht="15" hidden="false" customHeight="true" outlineLevel="0" collapsed="false">
      <c r="A99" s="9" t="s">
        <v>491</v>
      </c>
      <c r="B99" s="9" t="s">
        <v>492</v>
      </c>
      <c r="C99" s="9" t="s">
        <v>98</v>
      </c>
      <c r="D99" s="9" t="s">
        <v>71</v>
      </c>
      <c r="E99" s="9" t="s">
        <v>65</v>
      </c>
      <c r="F99" s="9" t="s">
        <v>66</v>
      </c>
      <c r="G99" s="9" t="s">
        <v>493</v>
      </c>
      <c r="H99" s="9" t="s">
        <v>43</v>
      </c>
      <c r="I99" s="9" t="n">
        <v>4</v>
      </c>
      <c r="J99" s="9" t="n">
        <v>1302.92</v>
      </c>
      <c r="K99" s="9" t="n">
        <v>0.15</v>
      </c>
      <c r="L99" s="9" t="n">
        <v>281.9</v>
      </c>
      <c r="M99" s="9" t="n">
        <v>2023</v>
      </c>
    </row>
    <row r="100" customFormat="false" ht="15" hidden="false" customHeight="true" outlineLevel="0" collapsed="false">
      <c r="A100" s="9" t="s">
        <v>241</v>
      </c>
      <c r="B100" s="9" t="s">
        <v>242</v>
      </c>
      <c r="C100" s="9" t="s">
        <v>102</v>
      </c>
      <c r="D100" s="9" t="s">
        <v>48</v>
      </c>
      <c r="E100" s="9" t="s">
        <v>65</v>
      </c>
      <c r="F100" s="9" t="s">
        <v>76</v>
      </c>
      <c r="G100" s="9" t="s">
        <v>243</v>
      </c>
      <c r="H100" s="9" t="s">
        <v>52</v>
      </c>
      <c r="I100" s="9" t="n">
        <v>10</v>
      </c>
      <c r="J100" s="9" t="n">
        <v>987.2</v>
      </c>
      <c r="K100" s="9" t="n">
        <v>0.1</v>
      </c>
      <c r="L100" s="9" t="n">
        <v>214.45</v>
      </c>
      <c r="M100" s="9" t="n">
        <v>2025</v>
      </c>
    </row>
    <row r="101" customFormat="false" ht="15" hidden="false" customHeight="true" outlineLevel="0" collapsed="false">
      <c r="A101" s="9" t="s">
        <v>134</v>
      </c>
      <c r="B101" s="9" t="s">
        <v>135</v>
      </c>
      <c r="C101" s="9" t="s">
        <v>128</v>
      </c>
      <c r="D101" s="9" t="s">
        <v>71</v>
      </c>
      <c r="E101" s="9" t="s">
        <v>49</v>
      </c>
      <c r="F101" s="9" t="s">
        <v>50</v>
      </c>
      <c r="G101" s="9" t="s">
        <v>136</v>
      </c>
      <c r="H101" s="9" t="s">
        <v>43</v>
      </c>
      <c r="I101" s="9" t="n">
        <v>8</v>
      </c>
      <c r="J101" s="9" t="n">
        <v>4543.68</v>
      </c>
      <c r="K101" s="9" t="n">
        <v>0.15</v>
      </c>
      <c r="L101" s="9" t="n">
        <v>539.72</v>
      </c>
      <c r="M101" s="9" t="n">
        <v>2023</v>
      </c>
    </row>
    <row r="102" customFormat="false" ht="15" hidden="false" customHeight="true" outlineLevel="0" collapsed="false">
      <c r="A102" s="9" t="s">
        <v>518</v>
      </c>
      <c r="B102" s="9" t="s">
        <v>519</v>
      </c>
      <c r="C102" s="9" t="s">
        <v>70</v>
      </c>
      <c r="D102" s="9" t="s">
        <v>71</v>
      </c>
      <c r="E102" s="9" t="s">
        <v>40</v>
      </c>
      <c r="F102" s="9" t="s">
        <v>143</v>
      </c>
      <c r="G102" s="9" t="s">
        <v>520</v>
      </c>
      <c r="H102" s="9" t="s">
        <v>43</v>
      </c>
      <c r="I102" s="9" t="n">
        <v>8</v>
      </c>
      <c r="J102" s="9" t="n">
        <v>619.12</v>
      </c>
      <c r="K102" s="9" t="n">
        <v>0.1</v>
      </c>
      <c r="L102" s="9" t="n">
        <v>123.46</v>
      </c>
      <c r="M102" s="9" t="n">
        <v>2025</v>
      </c>
    </row>
    <row r="103" customFormat="false" ht="15" hidden="false" customHeight="true" outlineLevel="0" collapsed="false">
      <c r="A103" s="9" t="s">
        <v>159</v>
      </c>
      <c r="B103" s="9" t="s">
        <v>160</v>
      </c>
      <c r="C103" s="9" t="s">
        <v>161</v>
      </c>
      <c r="D103" s="9" t="s">
        <v>48</v>
      </c>
      <c r="E103" s="9" t="s">
        <v>49</v>
      </c>
      <c r="F103" s="9" t="s">
        <v>129</v>
      </c>
      <c r="G103" s="9" t="s">
        <v>162</v>
      </c>
      <c r="H103" s="9" t="s">
        <v>52</v>
      </c>
      <c r="I103" s="9" t="n">
        <v>10</v>
      </c>
      <c r="J103" s="9" t="n">
        <v>5210.6</v>
      </c>
      <c r="K103" s="9" t="n">
        <v>0.3</v>
      </c>
      <c r="L103" s="9" t="n">
        <v>997.21</v>
      </c>
      <c r="M103" s="9" t="n">
        <v>2023</v>
      </c>
    </row>
    <row r="104" customFormat="false" ht="15" hidden="false" customHeight="true" outlineLevel="0" collapsed="false">
      <c r="A104" s="9" t="s">
        <v>494</v>
      </c>
      <c r="B104" s="9" t="s">
        <v>495</v>
      </c>
      <c r="C104" s="9" t="s">
        <v>88</v>
      </c>
      <c r="D104" s="9" t="s">
        <v>64</v>
      </c>
      <c r="E104" s="9" t="s">
        <v>40</v>
      </c>
      <c r="F104" s="9" t="s">
        <v>41</v>
      </c>
      <c r="G104" s="9" t="s">
        <v>496</v>
      </c>
      <c r="H104" s="9" t="s">
        <v>43</v>
      </c>
      <c r="I104" s="9" t="n">
        <v>11</v>
      </c>
      <c r="J104" s="9" t="n">
        <v>1454.96</v>
      </c>
      <c r="K104" s="9" t="n">
        <v>0</v>
      </c>
      <c r="L104" s="9" t="n">
        <v>351.76</v>
      </c>
      <c r="M104" s="9" t="n">
        <v>2024</v>
      </c>
    </row>
    <row r="105" customFormat="false" ht="15" hidden="false" customHeight="true" outlineLevel="0" collapsed="false">
      <c r="A105" s="9" t="s">
        <v>366</v>
      </c>
      <c r="B105" s="9" t="s">
        <v>367</v>
      </c>
      <c r="C105" s="9" t="s">
        <v>172</v>
      </c>
      <c r="D105" s="9" t="s">
        <v>39</v>
      </c>
      <c r="E105" s="9" t="s">
        <v>40</v>
      </c>
      <c r="F105" s="9" t="s">
        <v>173</v>
      </c>
      <c r="G105" s="9" t="s">
        <v>368</v>
      </c>
      <c r="H105" s="9" t="s">
        <v>82</v>
      </c>
      <c r="I105" s="9" t="n">
        <v>8</v>
      </c>
      <c r="J105" s="9" t="n">
        <v>276.16</v>
      </c>
      <c r="K105" s="9" t="n">
        <v>0</v>
      </c>
      <c r="L105" s="9" t="n">
        <v>74.48</v>
      </c>
      <c r="M105" s="9" t="n">
        <v>2024</v>
      </c>
    </row>
    <row r="106" customFormat="false" ht="15" hidden="false" customHeight="true" outlineLevel="0" collapsed="false">
      <c r="A106" s="9" t="s">
        <v>193</v>
      </c>
      <c r="B106" s="9" t="s">
        <v>194</v>
      </c>
      <c r="C106" s="9" t="s">
        <v>128</v>
      </c>
      <c r="D106" s="9" t="s">
        <v>48</v>
      </c>
      <c r="E106" s="9" t="s">
        <v>49</v>
      </c>
      <c r="F106" s="9" t="s">
        <v>129</v>
      </c>
      <c r="G106" s="9" t="s">
        <v>195</v>
      </c>
      <c r="H106" s="9" t="s">
        <v>82</v>
      </c>
      <c r="I106" s="9" t="n">
        <v>3</v>
      </c>
      <c r="J106" s="9" t="n">
        <v>1425.33</v>
      </c>
      <c r="K106" s="9" t="n">
        <v>0</v>
      </c>
      <c r="L106" s="9" t="n">
        <v>298.26</v>
      </c>
      <c r="M106" s="9" t="n">
        <v>2024</v>
      </c>
    </row>
    <row r="107" customFormat="false" ht="15" hidden="false" customHeight="true" outlineLevel="0" collapsed="false">
      <c r="A107" s="9" t="s">
        <v>546</v>
      </c>
      <c r="B107" s="9" t="s">
        <v>354</v>
      </c>
      <c r="C107" s="9" t="s">
        <v>63</v>
      </c>
      <c r="D107" s="9" t="s">
        <v>71</v>
      </c>
      <c r="E107" s="9" t="s">
        <v>65</v>
      </c>
      <c r="F107" s="9" t="s">
        <v>66</v>
      </c>
      <c r="G107" s="9" t="s">
        <v>547</v>
      </c>
      <c r="H107" s="9" t="s">
        <v>43</v>
      </c>
      <c r="I107" s="9" t="n">
        <v>8</v>
      </c>
      <c r="J107" s="9" t="n">
        <v>4626.32</v>
      </c>
      <c r="K107" s="9" t="n">
        <v>0</v>
      </c>
      <c r="L107" s="9" t="n">
        <v>1278</v>
      </c>
      <c r="M107" s="9" t="n">
        <v>2023</v>
      </c>
    </row>
    <row r="108" customFormat="false" ht="15" hidden="false" customHeight="true" outlineLevel="0" collapsed="false">
      <c r="A108" s="9" t="s">
        <v>393</v>
      </c>
      <c r="B108" s="9" t="s">
        <v>394</v>
      </c>
      <c r="C108" s="9" t="s">
        <v>38</v>
      </c>
      <c r="D108" s="9" t="s">
        <v>71</v>
      </c>
      <c r="E108" s="9" t="s">
        <v>40</v>
      </c>
      <c r="F108" s="9" t="s">
        <v>41</v>
      </c>
      <c r="G108" s="9" t="s">
        <v>395</v>
      </c>
      <c r="H108" s="9" t="s">
        <v>82</v>
      </c>
      <c r="I108" s="9" t="n">
        <v>1</v>
      </c>
      <c r="J108" s="9" t="n">
        <v>169.71</v>
      </c>
      <c r="K108" s="9" t="n">
        <v>0</v>
      </c>
      <c r="L108" s="9" t="n">
        <v>31.64</v>
      </c>
      <c r="M108" s="9" t="n">
        <v>2025</v>
      </c>
    </row>
    <row r="109" customFormat="false" ht="15" hidden="false" customHeight="true" outlineLevel="0" collapsed="false">
      <c r="A109" s="9" t="s">
        <v>302</v>
      </c>
      <c r="B109" s="9" t="s">
        <v>303</v>
      </c>
      <c r="C109" s="9" t="s">
        <v>88</v>
      </c>
      <c r="D109" s="9" t="s">
        <v>48</v>
      </c>
      <c r="E109" s="9" t="s">
        <v>40</v>
      </c>
      <c r="F109" s="9" t="s">
        <v>143</v>
      </c>
      <c r="G109" s="9" t="s">
        <v>304</v>
      </c>
      <c r="H109" s="9" t="s">
        <v>82</v>
      </c>
      <c r="I109" s="9" t="n">
        <v>11</v>
      </c>
      <c r="J109" s="9" t="n">
        <v>1669.69</v>
      </c>
      <c r="K109" s="9" t="n">
        <v>0</v>
      </c>
      <c r="L109" s="9" t="n">
        <v>393.82</v>
      </c>
      <c r="M109" s="9" t="n">
        <v>2023</v>
      </c>
    </row>
    <row r="110" customFormat="false" ht="15" hidden="false" customHeight="true" outlineLevel="0" collapsed="false">
      <c r="A110" s="9" t="s">
        <v>413</v>
      </c>
      <c r="B110" s="9" t="s">
        <v>414</v>
      </c>
      <c r="C110" s="9" t="s">
        <v>58</v>
      </c>
      <c r="D110" s="9" t="s">
        <v>39</v>
      </c>
      <c r="E110" s="9" t="s">
        <v>49</v>
      </c>
      <c r="F110" s="9" t="s">
        <v>258</v>
      </c>
      <c r="G110" s="9" t="s">
        <v>415</v>
      </c>
      <c r="H110" s="9" t="s">
        <v>52</v>
      </c>
      <c r="I110" s="9" t="n">
        <v>11</v>
      </c>
      <c r="J110" s="9" t="n">
        <v>2792.35</v>
      </c>
      <c r="K110" s="9" t="n">
        <v>0</v>
      </c>
      <c r="L110" s="9" t="n">
        <v>177.6</v>
      </c>
      <c r="M110" s="9" t="n">
        <v>2024</v>
      </c>
    </row>
    <row r="111" customFormat="false" ht="15" hidden="false" customHeight="true" outlineLevel="0" collapsed="false">
      <c r="A111" s="9" t="s">
        <v>428</v>
      </c>
      <c r="B111" s="9" t="s">
        <v>429</v>
      </c>
      <c r="C111" s="9" t="s">
        <v>102</v>
      </c>
      <c r="D111" s="9" t="s">
        <v>39</v>
      </c>
      <c r="E111" s="9" t="s">
        <v>49</v>
      </c>
      <c r="F111" s="9" t="s">
        <v>207</v>
      </c>
      <c r="G111" s="9" t="s">
        <v>430</v>
      </c>
      <c r="H111" s="9" t="s">
        <v>52</v>
      </c>
      <c r="I111" s="9" t="n">
        <v>7</v>
      </c>
      <c r="J111" s="9" t="n">
        <v>1962.66</v>
      </c>
      <c r="K111" s="9" t="n">
        <v>0.2</v>
      </c>
      <c r="L111" s="9" t="n">
        <v>525.7</v>
      </c>
      <c r="M111" s="9" t="n">
        <v>2023</v>
      </c>
    </row>
    <row r="112" customFormat="false" ht="15" hidden="false" customHeight="true" outlineLevel="0" collapsed="false">
      <c r="A112" s="9" t="s">
        <v>151</v>
      </c>
      <c r="B112" s="9" t="s">
        <v>152</v>
      </c>
      <c r="C112" s="9" t="s">
        <v>98</v>
      </c>
      <c r="D112" s="9" t="s">
        <v>64</v>
      </c>
      <c r="E112" s="9" t="s">
        <v>40</v>
      </c>
      <c r="F112" s="9" t="s">
        <v>41</v>
      </c>
      <c r="G112" s="9" t="s">
        <v>153</v>
      </c>
      <c r="H112" s="9" t="s">
        <v>82</v>
      </c>
      <c r="I112" s="9" t="n">
        <v>8</v>
      </c>
      <c r="J112" s="9" t="n">
        <v>3001.28</v>
      </c>
      <c r="K112" s="9" t="n">
        <v>0</v>
      </c>
      <c r="L112" s="9" t="n">
        <v>179.52</v>
      </c>
      <c r="M112" s="9" t="n">
        <v>2023</v>
      </c>
    </row>
    <row r="113" customFormat="false" ht="15" hidden="false" customHeight="true" outlineLevel="0" collapsed="false">
      <c r="A113" s="9" t="s">
        <v>296</v>
      </c>
      <c r="B113" s="9" t="s">
        <v>297</v>
      </c>
      <c r="C113" s="9" t="s">
        <v>88</v>
      </c>
      <c r="D113" s="9" t="s">
        <v>64</v>
      </c>
      <c r="E113" s="9" t="s">
        <v>65</v>
      </c>
      <c r="F113" s="9" t="s">
        <v>80</v>
      </c>
      <c r="G113" s="9" t="s">
        <v>298</v>
      </c>
      <c r="H113" s="9" t="s">
        <v>43</v>
      </c>
      <c r="I113" s="9" t="n">
        <v>11</v>
      </c>
      <c r="J113" s="9" t="n">
        <v>2528.79</v>
      </c>
      <c r="K113" s="9" t="n">
        <v>0.2</v>
      </c>
      <c r="L113" s="9" t="n">
        <v>318.83</v>
      </c>
      <c r="M113" s="9" t="n">
        <v>2023</v>
      </c>
    </row>
    <row r="114" customFormat="false" ht="15" hidden="false" customHeight="true" outlineLevel="0" collapsed="false">
      <c r="A114" s="9" t="s">
        <v>556</v>
      </c>
      <c r="B114" s="9" t="s">
        <v>557</v>
      </c>
      <c r="C114" s="9" t="s">
        <v>38</v>
      </c>
      <c r="D114" s="9" t="s">
        <v>48</v>
      </c>
      <c r="E114" s="9" t="s">
        <v>49</v>
      </c>
      <c r="F114" s="9" t="s">
        <v>225</v>
      </c>
      <c r="G114" s="9" t="s">
        <v>558</v>
      </c>
      <c r="H114" s="9" t="s">
        <v>52</v>
      </c>
      <c r="I114" s="9" t="n">
        <v>11</v>
      </c>
      <c r="J114" s="9" t="n">
        <v>4280.1</v>
      </c>
      <c r="K114" s="9" t="n">
        <v>0</v>
      </c>
      <c r="L114" s="9" t="n">
        <v>278.95</v>
      </c>
      <c r="M114" s="9" t="n">
        <v>2024</v>
      </c>
    </row>
    <row r="115" customFormat="false" ht="15" hidden="false" customHeight="true" outlineLevel="0" collapsed="false">
      <c r="A115" s="9" t="s">
        <v>350</v>
      </c>
      <c r="B115" s="9" t="s">
        <v>351</v>
      </c>
      <c r="C115" s="9" t="s">
        <v>38</v>
      </c>
      <c r="D115" s="9" t="s">
        <v>64</v>
      </c>
      <c r="E115" s="9" t="s">
        <v>65</v>
      </c>
      <c r="F115" s="9" t="s">
        <v>76</v>
      </c>
      <c r="G115" s="9" t="s">
        <v>352</v>
      </c>
      <c r="H115" s="9" t="s">
        <v>82</v>
      </c>
      <c r="I115" s="9" t="n">
        <v>10</v>
      </c>
      <c r="J115" s="9" t="n">
        <v>1413.3</v>
      </c>
      <c r="K115" s="9" t="n">
        <v>0.3</v>
      </c>
      <c r="L115" s="9" t="n">
        <v>118.62</v>
      </c>
      <c r="M115" s="9" t="n">
        <v>2024</v>
      </c>
    </row>
    <row r="116" customFormat="false" ht="15" hidden="false" customHeight="true" outlineLevel="0" collapsed="false">
      <c r="A116" s="9" t="s">
        <v>117</v>
      </c>
      <c r="B116" s="9" t="s">
        <v>118</v>
      </c>
      <c r="C116" s="9" t="s">
        <v>113</v>
      </c>
      <c r="D116" s="9" t="s">
        <v>64</v>
      </c>
      <c r="E116" s="9" t="s">
        <v>65</v>
      </c>
      <c r="F116" s="9" t="s">
        <v>109</v>
      </c>
      <c r="G116" s="9" t="s">
        <v>119</v>
      </c>
      <c r="H116" s="9" t="s">
        <v>43</v>
      </c>
      <c r="I116" s="9" t="n">
        <v>3</v>
      </c>
      <c r="J116" s="9" t="n">
        <v>237.93</v>
      </c>
      <c r="K116" s="9" t="n">
        <v>0.3</v>
      </c>
      <c r="L116" s="9" t="n">
        <v>9.62</v>
      </c>
      <c r="M116" s="9" t="n">
        <v>2024</v>
      </c>
    </row>
    <row r="117" customFormat="false" ht="15" hidden="false" customHeight="true" outlineLevel="0" collapsed="false">
      <c r="A117" s="9" t="s">
        <v>223</v>
      </c>
      <c r="B117" s="9" t="s">
        <v>224</v>
      </c>
      <c r="C117" s="9" t="s">
        <v>47</v>
      </c>
      <c r="D117" s="9" t="s">
        <v>71</v>
      </c>
      <c r="E117" s="9" t="s">
        <v>49</v>
      </c>
      <c r="F117" s="9" t="s">
        <v>225</v>
      </c>
      <c r="G117" s="9" t="s">
        <v>226</v>
      </c>
      <c r="H117" s="9" t="s">
        <v>82</v>
      </c>
      <c r="I117" s="9" t="n">
        <v>5</v>
      </c>
      <c r="J117" s="9" t="n">
        <v>228.25</v>
      </c>
      <c r="K117" s="9" t="n">
        <v>0.2</v>
      </c>
      <c r="L117" s="9" t="n">
        <v>32.19</v>
      </c>
      <c r="M117" s="9" t="n">
        <v>2023</v>
      </c>
    </row>
    <row r="118" customFormat="false" ht="15" hidden="false" customHeight="true" outlineLevel="0" collapsed="false">
      <c r="A118" s="9" t="s">
        <v>232</v>
      </c>
      <c r="B118" s="9" t="s">
        <v>233</v>
      </c>
      <c r="C118" s="9" t="s">
        <v>88</v>
      </c>
      <c r="D118" s="9" t="s">
        <v>48</v>
      </c>
      <c r="E118" s="9" t="s">
        <v>40</v>
      </c>
      <c r="F118" s="9" t="s">
        <v>59</v>
      </c>
      <c r="G118" s="9" t="s">
        <v>234</v>
      </c>
      <c r="H118" s="9" t="s">
        <v>43</v>
      </c>
      <c r="I118" s="9" t="n">
        <v>10</v>
      </c>
      <c r="J118" s="9" t="n">
        <v>788</v>
      </c>
      <c r="K118" s="9" t="n">
        <v>0.15</v>
      </c>
      <c r="L118" s="9" t="n">
        <v>78.01</v>
      </c>
      <c r="M118" s="9" t="n">
        <v>2025</v>
      </c>
    </row>
    <row r="119" customFormat="false" ht="15" hidden="false" customHeight="true" outlineLevel="0" collapsed="false">
      <c r="A119" s="9" t="s">
        <v>512</v>
      </c>
      <c r="B119" s="9" t="s">
        <v>513</v>
      </c>
      <c r="C119" s="9" t="s">
        <v>172</v>
      </c>
      <c r="D119" s="9" t="s">
        <v>39</v>
      </c>
      <c r="E119" s="9" t="s">
        <v>65</v>
      </c>
      <c r="F119" s="9" t="s">
        <v>66</v>
      </c>
      <c r="G119" s="9" t="s">
        <v>514</v>
      </c>
      <c r="H119" s="9" t="s">
        <v>43</v>
      </c>
      <c r="I119" s="9" t="n">
        <v>7</v>
      </c>
      <c r="J119" s="9" t="n">
        <v>1850.59</v>
      </c>
      <c r="K119" s="9" t="n">
        <v>0</v>
      </c>
      <c r="L119" s="9" t="n">
        <v>364.72</v>
      </c>
      <c r="M119" s="9" t="n">
        <v>2025</v>
      </c>
    </row>
    <row r="120" customFormat="false" ht="15" hidden="false" customHeight="true" outlineLevel="0" collapsed="false">
      <c r="A120" s="9" t="s">
        <v>448</v>
      </c>
      <c r="B120" s="9" t="s">
        <v>449</v>
      </c>
      <c r="C120" s="9" t="s">
        <v>38</v>
      </c>
      <c r="D120" s="9" t="s">
        <v>64</v>
      </c>
      <c r="E120" s="9" t="s">
        <v>65</v>
      </c>
      <c r="F120" s="9" t="s">
        <v>109</v>
      </c>
      <c r="G120" s="9" t="s">
        <v>450</v>
      </c>
      <c r="H120" s="9" t="s">
        <v>43</v>
      </c>
      <c r="I120" s="9" t="n">
        <v>5</v>
      </c>
      <c r="J120" s="9" t="n">
        <v>1901.15</v>
      </c>
      <c r="K120" s="9" t="n">
        <v>0.15</v>
      </c>
      <c r="L120" s="9" t="n">
        <v>346.64</v>
      </c>
      <c r="M120" s="9" t="n">
        <v>2023</v>
      </c>
    </row>
    <row r="121" customFormat="false" ht="15" hidden="false" customHeight="true" outlineLevel="0" collapsed="false">
      <c r="A121" s="9" t="s">
        <v>597</v>
      </c>
      <c r="B121" s="9" t="s">
        <v>598</v>
      </c>
      <c r="C121" s="9" t="s">
        <v>58</v>
      </c>
      <c r="D121" s="9" t="s">
        <v>71</v>
      </c>
      <c r="E121" s="9" t="s">
        <v>49</v>
      </c>
      <c r="F121" s="9" t="s">
        <v>258</v>
      </c>
      <c r="G121" s="9" t="s">
        <v>283</v>
      </c>
      <c r="H121" s="9" t="s">
        <v>82</v>
      </c>
      <c r="I121" s="9" t="n">
        <v>10</v>
      </c>
      <c r="J121" s="9" t="n">
        <v>2666.7</v>
      </c>
      <c r="K121" s="9" t="n">
        <v>0.3</v>
      </c>
      <c r="L121" s="9" t="n">
        <v>486.34</v>
      </c>
      <c r="M121" s="9" t="n">
        <v>2025</v>
      </c>
    </row>
    <row r="122" customFormat="false" ht="15" hidden="false" customHeight="true" outlineLevel="0" collapsed="false">
      <c r="A122" s="9" t="s">
        <v>227</v>
      </c>
      <c r="B122" s="9" t="s">
        <v>228</v>
      </c>
      <c r="C122" s="9" t="s">
        <v>102</v>
      </c>
      <c r="D122" s="9" t="s">
        <v>48</v>
      </c>
      <c r="E122" s="9" t="s">
        <v>40</v>
      </c>
      <c r="F122" s="9" t="s">
        <v>173</v>
      </c>
      <c r="G122" s="9" t="s">
        <v>229</v>
      </c>
      <c r="H122" s="9" t="s">
        <v>43</v>
      </c>
      <c r="I122" s="9" t="n">
        <v>6</v>
      </c>
      <c r="J122" s="9" t="n">
        <v>2994.24</v>
      </c>
      <c r="K122" s="9" t="n">
        <v>0.1</v>
      </c>
      <c r="L122" s="9" t="n">
        <v>471.05</v>
      </c>
      <c r="M122" s="9" t="n">
        <v>2025</v>
      </c>
    </row>
    <row r="123" customFormat="false" ht="15" hidden="false" customHeight="true" outlineLevel="0" collapsed="false">
      <c r="A123" s="9" t="s">
        <v>272</v>
      </c>
      <c r="B123" s="9" t="s">
        <v>273</v>
      </c>
      <c r="C123" s="9" t="s">
        <v>608</v>
      </c>
      <c r="D123" s="9" t="s">
        <v>71</v>
      </c>
      <c r="E123" s="9" t="s">
        <v>49</v>
      </c>
      <c r="F123" s="9" t="s">
        <v>207</v>
      </c>
      <c r="G123" s="9" t="s">
        <v>274</v>
      </c>
      <c r="H123" s="9" t="s">
        <v>43</v>
      </c>
      <c r="I123" s="9" t="n">
        <v>7</v>
      </c>
      <c r="J123" s="9" t="n">
        <v>6104.45</v>
      </c>
      <c r="K123" s="9" t="n">
        <v>0</v>
      </c>
      <c r="L123" s="9" t="n">
        <v>472.29</v>
      </c>
      <c r="M123" s="9" t="n">
        <v>2023</v>
      </c>
    </row>
    <row r="124" customFormat="false" ht="15" hidden="false" customHeight="true" outlineLevel="0" collapsed="false">
      <c r="A124" s="9" t="s">
        <v>568</v>
      </c>
      <c r="B124" s="9" t="s">
        <v>218</v>
      </c>
      <c r="C124" s="9" t="s">
        <v>113</v>
      </c>
      <c r="D124" s="9" t="s">
        <v>71</v>
      </c>
      <c r="E124" s="9" t="s">
        <v>65</v>
      </c>
      <c r="F124" s="9" t="s">
        <v>80</v>
      </c>
      <c r="G124" s="9" t="s">
        <v>569</v>
      </c>
      <c r="H124" s="9" t="s">
        <v>52</v>
      </c>
      <c r="I124" s="9" t="n">
        <v>10</v>
      </c>
      <c r="J124" s="9" t="n">
        <v>5746.3</v>
      </c>
      <c r="K124" s="9" t="n">
        <v>0.15</v>
      </c>
      <c r="L124" s="9" t="n">
        <v>727.25</v>
      </c>
      <c r="M124" s="9" t="n">
        <v>2023</v>
      </c>
    </row>
    <row r="125" customFormat="false" ht="15" hidden="false" customHeight="true" outlineLevel="0" collapsed="false">
      <c r="A125" s="9" t="s">
        <v>454</v>
      </c>
      <c r="B125" s="9" t="s">
        <v>455</v>
      </c>
      <c r="C125" s="9" t="s">
        <v>172</v>
      </c>
      <c r="D125" s="9" t="s">
        <v>48</v>
      </c>
      <c r="E125" s="9" t="s">
        <v>49</v>
      </c>
      <c r="F125" s="9" t="s">
        <v>129</v>
      </c>
      <c r="G125" s="9" t="s">
        <v>456</v>
      </c>
      <c r="H125" s="9" t="s">
        <v>82</v>
      </c>
      <c r="I125" s="9" t="n">
        <v>10</v>
      </c>
      <c r="J125" s="9" t="n">
        <v>1977.8</v>
      </c>
      <c r="K125" s="9" t="n">
        <v>0</v>
      </c>
      <c r="L125" s="9" t="n">
        <v>441.79</v>
      </c>
      <c r="M125" s="9" t="n">
        <v>2024</v>
      </c>
    </row>
    <row r="126" customFormat="false" ht="15" hidden="false" customHeight="true" outlineLevel="0" collapsed="false">
      <c r="A126" s="9" t="s">
        <v>399</v>
      </c>
      <c r="B126" s="9" t="s">
        <v>400</v>
      </c>
      <c r="C126" s="9" t="s">
        <v>88</v>
      </c>
      <c r="D126" s="9" t="s">
        <v>39</v>
      </c>
      <c r="E126" s="9" t="s">
        <v>65</v>
      </c>
      <c r="F126" s="9" t="s">
        <v>80</v>
      </c>
      <c r="G126" s="9" t="s">
        <v>401</v>
      </c>
      <c r="H126" s="9" t="s">
        <v>52</v>
      </c>
      <c r="I126" s="9" t="n">
        <v>2</v>
      </c>
      <c r="J126" s="9" t="n">
        <v>922.24</v>
      </c>
      <c r="K126" s="9" t="n">
        <v>0.15</v>
      </c>
      <c r="L126" s="9" t="n">
        <v>92.38</v>
      </c>
      <c r="M126" s="9" t="n">
        <v>2025</v>
      </c>
    </row>
    <row r="127" customFormat="false" ht="15" hidden="false" customHeight="true" outlineLevel="0" collapsed="false">
      <c r="A127" s="9" t="s">
        <v>250</v>
      </c>
      <c r="B127" s="9" t="s">
        <v>251</v>
      </c>
      <c r="C127" s="9" t="s">
        <v>47</v>
      </c>
      <c r="D127" s="9" t="s">
        <v>71</v>
      </c>
      <c r="E127" s="9" t="s">
        <v>40</v>
      </c>
      <c r="F127" s="9" t="s">
        <v>59</v>
      </c>
      <c r="G127" s="9" t="s">
        <v>252</v>
      </c>
      <c r="H127" s="9" t="s">
        <v>82</v>
      </c>
      <c r="I127" s="9" t="n">
        <v>5</v>
      </c>
      <c r="J127" s="9" t="n">
        <v>2130.4</v>
      </c>
      <c r="K127" s="9" t="n">
        <v>0</v>
      </c>
      <c r="L127" s="9" t="n">
        <v>695.49</v>
      </c>
      <c r="M127" s="9" t="n">
        <v>2024</v>
      </c>
    </row>
    <row r="128" customFormat="false" ht="15" hidden="false" customHeight="true" outlineLevel="0" collapsed="false">
      <c r="A128" s="9" t="s">
        <v>244</v>
      </c>
      <c r="B128" s="9" t="s">
        <v>245</v>
      </c>
      <c r="C128" s="9" t="s">
        <v>38</v>
      </c>
      <c r="D128" s="9" t="s">
        <v>48</v>
      </c>
      <c r="E128" s="9" t="s">
        <v>65</v>
      </c>
      <c r="F128" s="9" t="s">
        <v>76</v>
      </c>
      <c r="G128" s="9" t="s">
        <v>246</v>
      </c>
      <c r="H128" s="9" t="s">
        <v>52</v>
      </c>
      <c r="I128" s="9" t="n">
        <v>12</v>
      </c>
      <c r="J128" s="9" t="n">
        <v>4624.92</v>
      </c>
      <c r="K128" s="9" t="n">
        <v>0</v>
      </c>
      <c r="L128" s="9" t="n">
        <v>358.56</v>
      </c>
      <c r="M128" s="9" t="n">
        <v>2023</v>
      </c>
    </row>
    <row r="129" customFormat="false" ht="15" hidden="false" customHeight="true" outlineLevel="0" collapsed="false">
      <c r="A129" s="9" t="s">
        <v>156</v>
      </c>
      <c r="B129" s="9" t="s">
        <v>157</v>
      </c>
      <c r="C129" s="9" t="s">
        <v>63</v>
      </c>
      <c r="D129" s="9" t="s">
        <v>48</v>
      </c>
      <c r="E129" s="9" t="s">
        <v>65</v>
      </c>
      <c r="F129" s="9" t="s">
        <v>80</v>
      </c>
      <c r="G129" s="9" t="s">
        <v>158</v>
      </c>
      <c r="H129" s="9" t="s">
        <v>43</v>
      </c>
      <c r="I129" s="9" t="n">
        <v>6</v>
      </c>
      <c r="J129" s="9" t="n">
        <v>1183.86</v>
      </c>
      <c r="K129" s="9" t="n">
        <v>0</v>
      </c>
      <c r="L129" s="9" t="n">
        <v>335.09</v>
      </c>
      <c r="M129" s="9" t="n">
        <v>2023</v>
      </c>
    </row>
    <row r="130" customFormat="false" ht="15" hidden="false" customHeight="true" outlineLevel="0" collapsed="false">
      <c r="A130" s="9" t="s">
        <v>579</v>
      </c>
      <c r="B130" s="9" t="s">
        <v>580</v>
      </c>
      <c r="C130" s="9" t="s">
        <v>128</v>
      </c>
      <c r="D130" s="9" t="s">
        <v>64</v>
      </c>
      <c r="E130" s="9" t="s">
        <v>40</v>
      </c>
      <c r="F130" s="9" t="s">
        <v>59</v>
      </c>
      <c r="G130" s="9" t="s">
        <v>581</v>
      </c>
      <c r="H130" s="9" t="s">
        <v>52</v>
      </c>
      <c r="I130" s="9" t="n">
        <v>11</v>
      </c>
      <c r="J130" s="9" t="n">
        <v>690.03</v>
      </c>
      <c r="K130" s="9" t="n">
        <v>0.1</v>
      </c>
      <c r="L130" s="9" t="n">
        <v>154.38</v>
      </c>
      <c r="M130" s="9" t="n">
        <v>2023</v>
      </c>
    </row>
    <row r="131" customFormat="false" ht="15" hidden="false" customHeight="true" outlineLevel="0" collapsed="false">
      <c r="A131" s="9" t="s">
        <v>209</v>
      </c>
      <c r="B131" s="9" t="s">
        <v>210</v>
      </c>
      <c r="C131" s="9" t="s">
        <v>70</v>
      </c>
      <c r="D131" s="9" t="s">
        <v>71</v>
      </c>
      <c r="E131" s="9" t="s">
        <v>40</v>
      </c>
      <c r="F131" s="9" t="s">
        <v>41</v>
      </c>
      <c r="G131" s="9" t="s">
        <v>211</v>
      </c>
      <c r="H131" s="9" t="s">
        <v>43</v>
      </c>
      <c r="I131" s="9" t="n">
        <v>2</v>
      </c>
      <c r="J131" s="9" t="n">
        <v>1454.96</v>
      </c>
      <c r="K131" s="9" t="n">
        <v>0</v>
      </c>
      <c r="L131" s="9" t="n">
        <v>58.56</v>
      </c>
      <c r="M131" s="9" t="n">
        <v>2025</v>
      </c>
    </row>
    <row r="132" customFormat="false" ht="15" hidden="false" customHeight="true" outlineLevel="0" collapsed="false">
      <c r="A132" s="9" t="s">
        <v>471</v>
      </c>
      <c r="B132" s="9" t="s">
        <v>472</v>
      </c>
      <c r="C132" s="9" t="s">
        <v>172</v>
      </c>
      <c r="D132" s="9" t="s">
        <v>71</v>
      </c>
      <c r="E132" s="9" t="s">
        <v>40</v>
      </c>
      <c r="F132" s="9" t="s">
        <v>41</v>
      </c>
      <c r="G132" s="9" t="s">
        <v>473</v>
      </c>
      <c r="H132" s="9" t="s">
        <v>82</v>
      </c>
      <c r="I132" s="9" t="n">
        <v>7</v>
      </c>
      <c r="J132" s="9" t="n">
        <v>4136.3</v>
      </c>
      <c r="K132" s="9" t="n">
        <v>0</v>
      </c>
      <c r="L132" s="9" t="n">
        <v>216.35</v>
      </c>
      <c r="M132" s="9" t="n">
        <v>2024</v>
      </c>
    </row>
    <row r="133" customFormat="false" ht="15" hidden="false" customHeight="true" outlineLevel="0" collapsed="false">
      <c r="A133" s="9" t="s">
        <v>515</v>
      </c>
      <c r="B133" s="9" t="s">
        <v>516</v>
      </c>
      <c r="C133" s="9" t="s">
        <v>63</v>
      </c>
      <c r="D133" s="9" t="s">
        <v>71</v>
      </c>
      <c r="E133" s="9" t="s">
        <v>65</v>
      </c>
      <c r="F133" s="9" t="s">
        <v>76</v>
      </c>
      <c r="G133" s="9" t="s">
        <v>517</v>
      </c>
      <c r="H133" s="9" t="s">
        <v>43</v>
      </c>
      <c r="I133" s="9" t="n">
        <v>1</v>
      </c>
      <c r="J133" s="9" t="n">
        <v>305.97</v>
      </c>
      <c r="K133" s="9" t="n">
        <v>0.1</v>
      </c>
      <c r="L133" s="9" t="n">
        <v>28.28</v>
      </c>
      <c r="M133" s="9" t="n">
        <v>2023</v>
      </c>
    </row>
    <row r="134" customFormat="false" ht="15" hidden="false" customHeight="true" outlineLevel="0" collapsed="false">
      <c r="A134" s="9" t="s">
        <v>477</v>
      </c>
      <c r="B134" s="9" t="s">
        <v>478</v>
      </c>
      <c r="C134" s="9" t="s">
        <v>38</v>
      </c>
      <c r="D134" s="9" t="s">
        <v>71</v>
      </c>
      <c r="E134" s="9" t="s">
        <v>40</v>
      </c>
      <c r="F134" s="9" t="s">
        <v>173</v>
      </c>
      <c r="G134" s="9" t="s">
        <v>479</v>
      </c>
      <c r="H134" s="9" t="s">
        <v>82</v>
      </c>
      <c r="I134" s="9" t="n">
        <v>12</v>
      </c>
      <c r="J134" s="9" t="n">
        <v>477</v>
      </c>
      <c r="K134" s="9" t="n">
        <v>0</v>
      </c>
      <c r="L134" s="9" t="n">
        <v>89.64</v>
      </c>
      <c r="M134" s="9" t="n">
        <v>2025</v>
      </c>
    </row>
    <row r="135" customFormat="false" ht="15" hidden="false" customHeight="true" outlineLevel="0" collapsed="false">
      <c r="A135" s="9" t="s">
        <v>269</v>
      </c>
      <c r="B135" s="9" t="s">
        <v>270</v>
      </c>
      <c r="C135" s="9" t="s">
        <v>98</v>
      </c>
      <c r="D135" s="9" t="s">
        <v>48</v>
      </c>
      <c r="E135" s="9" t="s">
        <v>49</v>
      </c>
      <c r="F135" s="9" t="s">
        <v>258</v>
      </c>
      <c r="G135" s="9" t="s">
        <v>271</v>
      </c>
      <c r="H135" s="9" t="s">
        <v>43</v>
      </c>
      <c r="I135" s="9" t="n">
        <v>2</v>
      </c>
      <c r="J135" s="9" t="n">
        <v>503.88</v>
      </c>
      <c r="K135" s="9" t="n">
        <v>0</v>
      </c>
      <c r="L135" s="9" t="n">
        <v>51.18</v>
      </c>
      <c r="M135" s="9" t="n">
        <v>2024</v>
      </c>
    </row>
    <row r="136" customFormat="false" ht="15" hidden="false" customHeight="true" outlineLevel="0" collapsed="false">
      <c r="A136" s="9" t="s">
        <v>451</v>
      </c>
      <c r="B136" s="9" t="s">
        <v>452</v>
      </c>
      <c r="C136" s="9" t="s">
        <v>358</v>
      </c>
      <c r="D136" s="9" t="s">
        <v>48</v>
      </c>
      <c r="E136" s="9" t="s">
        <v>49</v>
      </c>
      <c r="F136" s="9" t="s">
        <v>129</v>
      </c>
      <c r="G136" s="9" t="s">
        <v>453</v>
      </c>
      <c r="H136" s="9" t="s">
        <v>52</v>
      </c>
      <c r="I136" s="9" t="n">
        <v>7</v>
      </c>
      <c r="J136" s="9" t="n">
        <v>2516.43</v>
      </c>
      <c r="K136" s="9" t="n">
        <v>0.15</v>
      </c>
      <c r="L136" s="9" t="n">
        <v>157.42</v>
      </c>
      <c r="M136" s="9" t="n">
        <v>2024</v>
      </c>
    </row>
    <row r="137" customFormat="false" ht="15" hidden="false" customHeight="true" outlineLevel="0" collapsed="false">
      <c r="A137" s="9" t="s">
        <v>126</v>
      </c>
      <c r="B137" s="9" t="s">
        <v>127</v>
      </c>
      <c r="C137" s="9" t="s">
        <v>128</v>
      </c>
      <c r="D137" s="9" t="s">
        <v>71</v>
      </c>
      <c r="E137" s="9" t="s">
        <v>49</v>
      </c>
      <c r="F137" s="9" t="s">
        <v>129</v>
      </c>
      <c r="G137" s="9" t="s">
        <v>130</v>
      </c>
      <c r="H137" s="9" t="s">
        <v>52</v>
      </c>
      <c r="I137" s="9" t="n">
        <v>9</v>
      </c>
      <c r="J137" s="9" t="n">
        <v>3468.96</v>
      </c>
      <c r="K137" s="9" t="n">
        <v>0.15</v>
      </c>
      <c r="L137" s="9" t="n">
        <v>598.53</v>
      </c>
      <c r="M137" s="9" t="n">
        <v>2023</v>
      </c>
    </row>
    <row r="138" customFormat="false" ht="15" hidden="false" customHeight="true" outlineLevel="0" collapsed="false">
      <c r="A138" s="9" t="s">
        <v>425</v>
      </c>
      <c r="B138" s="9" t="s">
        <v>426</v>
      </c>
      <c r="C138" s="9" t="s">
        <v>102</v>
      </c>
      <c r="D138" s="9" t="s">
        <v>64</v>
      </c>
      <c r="E138" s="9" t="s">
        <v>49</v>
      </c>
      <c r="F138" s="9" t="s">
        <v>129</v>
      </c>
      <c r="G138" s="9" t="s">
        <v>427</v>
      </c>
      <c r="H138" s="9" t="s">
        <v>82</v>
      </c>
      <c r="I138" s="9" t="n">
        <v>3</v>
      </c>
      <c r="J138" s="9" t="n">
        <v>494.22</v>
      </c>
      <c r="K138" s="9" t="n">
        <v>0</v>
      </c>
      <c r="L138" s="9" t="n">
        <v>114.03</v>
      </c>
      <c r="M138" s="9" t="n">
        <v>2023</v>
      </c>
    </row>
    <row r="139" customFormat="false" ht="15" hidden="false" customHeight="true" outlineLevel="0" collapsed="false">
      <c r="A139" s="9" t="s">
        <v>56</v>
      </c>
      <c r="B139" s="9" t="s">
        <v>57</v>
      </c>
      <c r="C139" s="9" t="s">
        <v>58</v>
      </c>
      <c r="D139" s="9" t="s">
        <v>48</v>
      </c>
      <c r="E139" s="9" t="s">
        <v>40</v>
      </c>
      <c r="F139" s="9" t="s">
        <v>59</v>
      </c>
      <c r="G139" s="9" t="s">
        <v>60</v>
      </c>
      <c r="H139" s="9" t="s">
        <v>52</v>
      </c>
      <c r="I139" s="9" t="n">
        <v>11</v>
      </c>
      <c r="J139" s="9" t="n">
        <v>6111.93</v>
      </c>
      <c r="K139" s="9" t="n">
        <v>0.15</v>
      </c>
      <c r="L139" s="9" t="n">
        <v>1261.89</v>
      </c>
      <c r="M139" s="9" t="n">
        <v>2025</v>
      </c>
    </row>
    <row r="140" customFormat="false" ht="15" hidden="false" customHeight="true" outlineLevel="0" collapsed="false">
      <c r="A140" s="9" t="s">
        <v>187</v>
      </c>
      <c r="B140" s="9" t="s">
        <v>188</v>
      </c>
      <c r="C140" s="9" t="s">
        <v>38</v>
      </c>
      <c r="D140" s="9" t="s">
        <v>48</v>
      </c>
      <c r="E140" s="9" t="s">
        <v>49</v>
      </c>
      <c r="F140" s="9" t="s">
        <v>129</v>
      </c>
      <c r="G140" s="9" t="s">
        <v>189</v>
      </c>
      <c r="H140" s="9" t="s">
        <v>52</v>
      </c>
      <c r="I140" s="9" t="n">
        <v>8</v>
      </c>
      <c r="J140" s="9" t="n">
        <v>3074.88</v>
      </c>
      <c r="K140" s="9" t="n">
        <v>0.3</v>
      </c>
      <c r="L140" s="9" t="n">
        <v>284.98</v>
      </c>
      <c r="M140" s="9" t="n">
        <v>2025</v>
      </c>
    </row>
    <row r="141" customFormat="false" ht="15" hidden="false" customHeight="true" outlineLevel="0" collapsed="false">
      <c r="A141" s="9" t="s">
        <v>562</v>
      </c>
      <c r="B141" s="9" t="s">
        <v>563</v>
      </c>
      <c r="C141" s="9" t="s">
        <v>58</v>
      </c>
      <c r="D141" s="9" t="s">
        <v>71</v>
      </c>
      <c r="E141" s="9" t="s">
        <v>49</v>
      </c>
      <c r="F141" s="9" t="s">
        <v>258</v>
      </c>
      <c r="G141" s="9" t="s">
        <v>564</v>
      </c>
      <c r="H141" s="9" t="s">
        <v>52</v>
      </c>
      <c r="I141" s="9" t="n">
        <v>1</v>
      </c>
      <c r="J141" s="9" t="n">
        <v>48.28</v>
      </c>
      <c r="K141" s="9" t="n">
        <v>0.3</v>
      </c>
      <c r="L141" s="9" t="n">
        <v>4.6</v>
      </c>
      <c r="M141" s="9" t="n">
        <v>2025</v>
      </c>
    </row>
    <row r="142" customFormat="false" ht="15" hidden="false" customHeight="true" outlineLevel="0" collapsed="false">
      <c r="A142" s="9" t="s">
        <v>137</v>
      </c>
      <c r="B142" s="9" t="s">
        <v>138</v>
      </c>
      <c r="C142" s="9" t="s">
        <v>58</v>
      </c>
      <c r="D142" s="9" t="s">
        <v>39</v>
      </c>
      <c r="E142" s="9" t="s">
        <v>65</v>
      </c>
      <c r="F142" s="9" t="s">
        <v>80</v>
      </c>
      <c r="G142" s="9" t="s">
        <v>139</v>
      </c>
      <c r="H142" s="9" t="s">
        <v>43</v>
      </c>
      <c r="I142" s="9" t="n">
        <v>6</v>
      </c>
      <c r="J142" s="9" t="n">
        <v>2213.58</v>
      </c>
      <c r="K142" s="9" t="n">
        <v>0.15</v>
      </c>
      <c r="L142" s="9" t="n">
        <v>179.23</v>
      </c>
      <c r="M142" s="9" t="n">
        <v>2024</v>
      </c>
    </row>
    <row r="143" customFormat="false" ht="15" hidden="false" customHeight="true" outlineLevel="0" collapsed="false">
      <c r="A143" s="9" t="s">
        <v>235</v>
      </c>
      <c r="B143" s="9" t="s">
        <v>236</v>
      </c>
      <c r="C143" s="9" t="s">
        <v>128</v>
      </c>
      <c r="D143" s="9" t="s">
        <v>39</v>
      </c>
      <c r="E143" s="9" t="s">
        <v>49</v>
      </c>
      <c r="F143" s="9" t="s">
        <v>50</v>
      </c>
      <c r="G143" s="9" t="s">
        <v>237</v>
      </c>
      <c r="H143" s="9" t="s">
        <v>43</v>
      </c>
      <c r="I143" s="9" t="n">
        <v>4</v>
      </c>
      <c r="J143" s="9" t="n">
        <v>1715.84</v>
      </c>
      <c r="K143" s="9" t="n">
        <v>0.1</v>
      </c>
      <c r="L143" s="9" t="n">
        <v>320</v>
      </c>
      <c r="M143" s="9" t="n">
        <v>2023</v>
      </c>
    </row>
    <row r="144" customFormat="false" ht="15" hidden="false" customHeight="true" outlineLevel="0" collapsed="false">
      <c r="A144" s="9" t="s">
        <v>509</v>
      </c>
      <c r="B144" s="9" t="s">
        <v>510</v>
      </c>
      <c r="C144" s="9" t="s">
        <v>142</v>
      </c>
      <c r="D144" s="9" t="s">
        <v>71</v>
      </c>
      <c r="E144" s="9" t="s">
        <v>65</v>
      </c>
      <c r="F144" s="9" t="s">
        <v>66</v>
      </c>
      <c r="G144" s="9" t="s">
        <v>511</v>
      </c>
      <c r="H144" s="9" t="s">
        <v>43</v>
      </c>
      <c r="I144" s="9" t="n">
        <v>6</v>
      </c>
      <c r="J144" s="9" t="n">
        <v>2472.96</v>
      </c>
      <c r="K144" s="9" t="n">
        <v>0</v>
      </c>
      <c r="L144" s="9" t="n">
        <v>709.17</v>
      </c>
      <c r="M144" s="9" t="n">
        <v>2025</v>
      </c>
    </row>
    <row r="145" customFormat="false" ht="15" hidden="false" customHeight="true" outlineLevel="0" collapsed="false">
      <c r="A145" s="9" t="s">
        <v>526</v>
      </c>
      <c r="B145" s="9" t="s">
        <v>527</v>
      </c>
      <c r="C145" s="9" t="s">
        <v>142</v>
      </c>
      <c r="D145" s="9" t="s">
        <v>39</v>
      </c>
      <c r="E145" s="9" t="s">
        <v>49</v>
      </c>
      <c r="F145" s="9" t="s">
        <v>50</v>
      </c>
      <c r="G145" s="9" t="s">
        <v>528</v>
      </c>
      <c r="H145" s="9" t="s">
        <v>43</v>
      </c>
      <c r="I145" s="9" t="n">
        <v>5</v>
      </c>
      <c r="J145" s="9" t="n">
        <v>2191.9</v>
      </c>
      <c r="K145" s="9" t="n">
        <v>0.2</v>
      </c>
      <c r="L145" s="9" t="n">
        <v>595.01</v>
      </c>
      <c r="M145" s="9" t="n">
        <v>2024</v>
      </c>
    </row>
    <row r="146" customFormat="false" ht="15" hidden="false" customHeight="true" outlineLevel="0" collapsed="false">
      <c r="A146" s="9" t="s">
        <v>485</v>
      </c>
      <c r="B146" s="9" t="s">
        <v>486</v>
      </c>
      <c r="C146" s="9" t="s">
        <v>88</v>
      </c>
      <c r="D146" s="9" t="s">
        <v>64</v>
      </c>
      <c r="E146" s="9" t="s">
        <v>65</v>
      </c>
      <c r="F146" s="9" t="s">
        <v>66</v>
      </c>
      <c r="G146" s="9" t="s">
        <v>487</v>
      </c>
      <c r="H146" s="9" t="s">
        <v>52</v>
      </c>
      <c r="I146" s="9" t="n">
        <v>11</v>
      </c>
      <c r="J146" s="9" t="n">
        <v>4659.71</v>
      </c>
      <c r="K146" s="9" t="n">
        <v>0.1</v>
      </c>
      <c r="L146" s="9" t="n">
        <v>371.92</v>
      </c>
      <c r="M146" s="9" t="n">
        <v>2024</v>
      </c>
    </row>
    <row r="147" customFormat="false" ht="15" hidden="false" customHeight="true" outlineLevel="0" collapsed="false">
      <c r="A147" s="9" t="s">
        <v>154</v>
      </c>
      <c r="B147" s="9" t="s">
        <v>115</v>
      </c>
      <c r="C147" s="9" t="s">
        <v>63</v>
      </c>
      <c r="D147" s="9" t="s">
        <v>48</v>
      </c>
      <c r="E147" s="9" t="s">
        <v>65</v>
      </c>
      <c r="F147" s="9" t="s">
        <v>66</v>
      </c>
      <c r="G147" s="9" t="s">
        <v>155</v>
      </c>
      <c r="H147" s="9" t="s">
        <v>82</v>
      </c>
      <c r="I147" s="9" t="n">
        <v>11</v>
      </c>
      <c r="J147" s="9" t="n">
        <v>4687.76</v>
      </c>
      <c r="K147" s="9" t="n">
        <v>0.2</v>
      </c>
      <c r="L147" s="9" t="n">
        <v>1309.38</v>
      </c>
      <c r="M147" s="9" t="n">
        <v>2023</v>
      </c>
    </row>
    <row r="148" customFormat="false" ht="15" hidden="false" customHeight="true" outlineLevel="0" collapsed="false">
      <c r="A148" s="9" t="s">
        <v>434</v>
      </c>
      <c r="B148" s="9" t="s">
        <v>435</v>
      </c>
      <c r="C148" s="9" t="s">
        <v>47</v>
      </c>
      <c r="D148" s="9" t="s">
        <v>71</v>
      </c>
      <c r="E148" s="9" t="s">
        <v>65</v>
      </c>
      <c r="F148" s="9" t="s">
        <v>80</v>
      </c>
      <c r="G148" s="9" t="s">
        <v>436</v>
      </c>
      <c r="H148" s="9" t="s">
        <v>82</v>
      </c>
      <c r="I148" s="9" t="n">
        <v>5</v>
      </c>
      <c r="J148" s="9" t="n">
        <v>602.25</v>
      </c>
      <c r="K148" s="9" t="n">
        <v>0</v>
      </c>
      <c r="L148" s="9" t="n">
        <v>91.85</v>
      </c>
      <c r="M148" s="9" t="n">
        <v>2025</v>
      </c>
    </row>
    <row r="149" customFormat="false" ht="15" hidden="false" customHeight="true" outlineLevel="0" collapsed="false">
      <c r="A149" s="9" t="s">
        <v>534</v>
      </c>
      <c r="B149" s="9" t="s">
        <v>535</v>
      </c>
      <c r="C149" s="9" t="s">
        <v>113</v>
      </c>
      <c r="D149" s="9" t="s">
        <v>64</v>
      </c>
      <c r="E149" s="9" t="s">
        <v>49</v>
      </c>
      <c r="F149" s="9" t="s">
        <v>225</v>
      </c>
      <c r="G149" s="9" t="s">
        <v>536</v>
      </c>
      <c r="H149" s="9" t="s">
        <v>52</v>
      </c>
      <c r="I149" s="9" t="n">
        <v>5</v>
      </c>
      <c r="J149" s="9" t="n">
        <v>2544.95</v>
      </c>
      <c r="K149" s="9" t="n">
        <v>0</v>
      </c>
      <c r="L149" s="9" t="n">
        <v>514.86</v>
      </c>
      <c r="M149" s="9" t="n">
        <v>2023</v>
      </c>
    </row>
    <row r="150" customFormat="false" ht="15" hidden="false" customHeight="true" outlineLevel="0" collapsed="false">
      <c r="A150" s="9" t="s">
        <v>111</v>
      </c>
      <c r="B150" s="9" t="s">
        <v>112</v>
      </c>
      <c r="C150" s="9" t="s">
        <v>113</v>
      </c>
      <c r="D150" s="9" t="s">
        <v>71</v>
      </c>
      <c r="E150" s="9" t="s">
        <v>40</v>
      </c>
      <c r="F150" s="9" t="s">
        <v>59</v>
      </c>
      <c r="G150" s="9" t="s">
        <v>60</v>
      </c>
      <c r="H150" s="9" t="s">
        <v>82</v>
      </c>
      <c r="I150" s="9" t="n">
        <v>3</v>
      </c>
      <c r="J150" s="9" t="n">
        <v>329.73</v>
      </c>
      <c r="K150" s="9" t="n">
        <v>0.3</v>
      </c>
      <c r="L150" s="9" t="n">
        <v>59.52</v>
      </c>
      <c r="M150" s="9" t="n">
        <v>2025</v>
      </c>
    </row>
    <row r="151" customFormat="false" ht="15" hidden="false" customHeight="true" outlineLevel="0" collapsed="false">
      <c r="A151" s="9" t="s">
        <v>199</v>
      </c>
      <c r="B151" s="9" t="s">
        <v>200</v>
      </c>
      <c r="C151" s="9" t="s">
        <v>88</v>
      </c>
      <c r="D151" s="9" t="s">
        <v>48</v>
      </c>
      <c r="E151" s="9" t="s">
        <v>65</v>
      </c>
      <c r="F151" s="9" t="s">
        <v>80</v>
      </c>
      <c r="G151" s="9" t="s">
        <v>201</v>
      </c>
      <c r="H151" s="9" t="s">
        <v>52</v>
      </c>
      <c r="I151" s="9" t="n">
        <v>8</v>
      </c>
      <c r="J151" s="9" t="n">
        <v>2977.6</v>
      </c>
      <c r="K151" s="9" t="n">
        <v>0.3</v>
      </c>
      <c r="L151" s="9" t="n">
        <v>572.27</v>
      </c>
      <c r="M151" s="9" t="n">
        <v>2024</v>
      </c>
    </row>
    <row r="152" customFormat="false" ht="15" hidden="false" customHeight="true" outlineLevel="0" collapsed="false">
      <c r="A152" s="9" t="s">
        <v>381</v>
      </c>
      <c r="B152" s="9" t="s">
        <v>382</v>
      </c>
      <c r="C152" s="9" t="s">
        <v>70</v>
      </c>
      <c r="D152" s="9" t="s">
        <v>48</v>
      </c>
      <c r="E152" s="9" t="s">
        <v>65</v>
      </c>
      <c r="F152" s="9" t="s">
        <v>76</v>
      </c>
      <c r="G152" s="9" t="s">
        <v>383</v>
      </c>
      <c r="H152" s="9" t="s">
        <v>43</v>
      </c>
      <c r="I152" s="9" t="n">
        <v>11</v>
      </c>
      <c r="J152" s="9" t="n">
        <v>6259.77</v>
      </c>
      <c r="K152" s="9" t="n">
        <v>0.1</v>
      </c>
      <c r="L152" s="9" t="n">
        <v>1061.99</v>
      </c>
      <c r="M152" s="9" t="n">
        <v>2025</v>
      </c>
    </row>
    <row r="153" customFormat="false" ht="15" hidden="false" customHeight="true" outlineLevel="0" collapsed="false">
      <c r="A153" s="9" t="s">
        <v>591</v>
      </c>
      <c r="B153" s="9" t="s">
        <v>592</v>
      </c>
      <c r="C153" s="9" t="s">
        <v>128</v>
      </c>
      <c r="D153" s="9" t="s">
        <v>48</v>
      </c>
      <c r="E153" s="9" t="s">
        <v>49</v>
      </c>
      <c r="F153" s="9" t="s">
        <v>258</v>
      </c>
      <c r="G153" s="9" t="s">
        <v>593</v>
      </c>
      <c r="H153" s="9" t="s">
        <v>82</v>
      </c>
      <c r="I153" s="9" t="n">
        <v>10</v>
      </c>
      <c r="J153" s="9" t="n">
        <v>959.6</v>
      </c>
      <c r="K153" s="9" t="n">
        <v>0</v>
      </c>
      <c r="L153" s="9" t="n">
        <v>63</v>
      </c>
      <c r="M153" s="9" t="n">
        <v>2024</v>
      </c>
    </row>
    <row r="154" customFormat="false" ht="15" hidden="false" customHeight="true" outlineLevel="0" collapsed="false">
      <c r="A154" s="9" t="s">
        <v>331</v>
      </c>
      <c r="B154" s="9" t="s">
        <v>332</v>
      </c>
      <c r="C154" s="9" t="s">
        <v>165</v>
      </c>
      <c r="D154" s="9" t="s">
        <v>39</v>
      </c>
      <c r="E154" s="9" t="s">
        <v>49</v>
      </c>
      <c r="F154" s="9" t="s">
        <v>258</v>
      </c>
      <c r="G154" s="9" t="s">
        <v>333</v>
      </c>
      <c r="H154" s="9" t="s">
        <v>52</v>
      </c>
      <c r="I154" s="9" t="n">
        <v>3</v>
      </c>
      <c r="J154" s="9" t="n">
        <v>523.74</v>
      </c>
      <c r="K154" s="9" t="n">
        <v>0.15</v>
      </c>
      <c r="L154" s="9" t="n">
        <v>41.94</v>
      </c>
      <c r="M154" s="9" t="n">
        <v>2023</v>
      </c>
    </row>
    <row r="155" customFormat="false" ht="15" hidden="false" customHeight="true" outlineLevel="0" collapsed="false">
      <c r="A155" s="9" t="s">
        <v>299</v>
      </c>
      <c r="B155" s="9" t="s">
        <v>300</v>
      </c>
      <c r="C155" s="9" t="s">
        <v>47</v>
      </c>
      <c r="D155" s="9" t="s">
        <v>71</v>
      </c>
      <c r="E155" s="9" t="s">
        <v>65</v>
      </c>
      <c r="F155" s="9" t="s">
        <v>76</v>
      </c>
      <c r="G155" s="9" t="s">
        <v>301</v>
      </c>
      <c r="H155" s="9" t="s">
        <v>43</v>
      </c>
      <c r="I155" s="9" t="n">
        <v>1</v>
      </c>
      <c r="J155" s="9" t="n">
        <v>246.93</v>
      </c>
      <c r="K155" s="9" t="n">
        <v>0</v>
      </c>
      <c r="L155" s="9" t="n">
        <v>29.81</v>
      </c>
      <c r="M155" s="9" t="n">
        <v>2025</v>
      </c>
    </row>
    <row r="156" customFormat="false" ht="15" hidden="false" customHeight="true" outlineLevel="0" collapsed="false">
      <c r="A156" s="9" t="s">
        <v>576</v>
      </c>
      <c r="B156" s="9" t="s">
        <v>577</v>
      </c>
      <c r="C156" s="9" t="s">
        <v>358</v>
      </c>
      <c r="D156" s="9" t="s">
        <v>71</v>
      </c>
      <c r="E156" s="9" t="s">
        <v>49</v>
      </c>
      <c r="F156" s="9" t="s">
        <v>225</v>
      </c>
      <c r="G156" s="9" t="s">
        <v>578</v>
      </c>
      <c r="H156" s="9" t="s">
        <v>52</v>
      </c>
      <c r="I156" s="9" t="n">
        <v>3</v>
      </c>
      <c r="J156" s="9" t="n">
        <v>286.5</v>
      </c>
      <c r="K156" s="9" t="n">
        <v>0</v>
      </c>
      <c r="L156" s="9" t="n">
        <v>93.18</v>
      </c>
      <c r="M156" s="9" t="n">
        <v>2024</v>
      </c>
    </row>
    <row r="157" customFormat="false" ht="15" hidden="false" customHeight="true" outlineLevel="0" collapsed="false">
      <c r="A157" s="9" t="s">
        <v>247</v>
      </c>
      <c r="B157" s="9" t="s">
        <v>248</v>
      </c>
      <c r="C157" s="9" t="s">
        <v>58</v>
      </c>
      <c r="D157" s="9" t="s">
        <v>48</v>
      </c>
      <c r="E157" s="9" t="s">
        <v>40</v>
      </c>
      <c r="F157" s="9" t="s">
        <v>173</v>
      </c>
      <c r="G157" s="9" t="s">
        <v>249</v>
      </c>
      <c r="H157" s="9" t="s">
        <v>82</v>
      </c>
      <c r="I157" s="9" t="n">
        <v>2</v>
      </c>
      <c r="J157" s="9" t="n">
        <v>52.24</v>
      </c>
      <c r="K157" s="9" t="n">
        <v>0</v>
      </c>
      <c r="L157" s="9" t="n">
        <v>15.7</v>
      </c>
      <c r="M157" s="9" t="n">
        <v>2023</v>
      </c>
    </row>
    <row r="158" customFormat="false" ht="15" hidden="false" customHeight="true" outlineLevel="0" collapsed="false">
      <c r="A158" s="9" t="s">
        <v>181</v>
      </c>
      <c r="B158" s="9" t="s">
        <v>182</v>
      </c>
      <c r="C158" s="9" t="s">
        <v>102</v>
      </c>
      <c r="D158" s="9" t="s">
        <v>71</v>
      </c>
      <c r="E158" s="9" t="s">
        <v>40</v>
      </c>
      <c r="F158" s="9" t="s">
        <v>41</v>
      </c>
      <c r="G158" s="9" t="s">
        <v>183</v>
      </c>
      <c r="H158" s="9" t="s">
        <v>52</v>
      </c>
      <c r="I158" s="9" t="n">
        <v>2</v>
      </c>
      <c r="J158" s="9" t="n">
        <v>85.86</v>
      </c>
      <c r="K158" s="9" t="n">
        <v>0.1</v>
      </c>
      <c r="L158" s="9" t="n">
        <v>18.68</v>
      </c>
      <c r="M158" s="9" t="n">
        <v>2024</v>
      </c>
    </row>
    <row r="159" customFormat="false" ht="15" hidden="false" customHeight="true" outlineLevel="0" collapsed="false">
      <c r="A159" s="9" t="s">
        <v>45</v>
      </c>
      <c r="B159" s="9" t="s">
        <v>46</v>
      </c>
      <c r="C159" s="9" t="s">
        <v>47</v>
      </c>
      <c r="D159" s="9" t="s">
        <v>48</v>
      </c>
      <c r="E159" s="9" t="s">
        <v>49</v>
      </c>
      <c r="F159" s="9" t="s">
        <v>50</v>
      </c>
      <c r="G159" s="9" t="s">
        <v>51</v>
      </c>
      <c r="H159" s="9" t="s">
        <v>52</v>
      </c>
      <c r="I159" s="9" t="n">
        <v>10</v>
      </c>
      <c r="J159" s="9" t="n">
        <v>1565.3</v>
      </c>
      <c r="K159" s="9" t="n">
        <v>0</v>
      </c>
      <c r="L159" s="9" t="n">
        <v>215.04</v>
      </c>
      <c r="M159" s="9" t="n">
        <v>2025</v>
      </c>
    </row>
    <row r="160" customFormat="false" ht="15" hidden="false" customHeight="true" outlineLevel="0" collapsed="false">
      <c r="A160" s="9" t="s">
        <v>184</v>
      </c>
      <c r="B160" s="9" t="s">
        <v>185</v>
      </c>
      <c r="C160" s="9" t="s">
        <v>128</v>
      </c>
      <c r="D160" s="9" t="s">
        <v>48</v>
      </c>
      <c r="E160" s="9" t="s">
        <v>40</v>
      </c>
      <c r="F160" s="9" t="s">
        <v>143</v>
      </c>
      <c r="G160" s="9" t="s">
        <v>186</v>
      </c>
      <c r="H160" s="9" t="s">
        <v>52</v>
      </c>
      <c r="I160" s="9" t="n">
        <v>9</v>
      </c>
      <c r="J160" s="9" t="n">
        <v>5266.53</v>
      </c>
      <c r="K160" s="9" t="n">
        <v>0</v>
      </c>
      <c r="L160" s="9" t="n">
        <v>1769.67</v>
      </c>
      <c r="M160" s="9" t="n">
        <v>2023</v>
      </c>
    </row>
    <row r="161" customFormat="false" ht="15" hidden="false" customHeight="true" outlineLevel="0" collapsed="false">
      <c r="A161" s="9" t="s">
        <v>344</v>
      </c>
      <c r="B161" s="9" t="s">
        <v>345</v>
      </c>
      <c r="C161" s="9" t="s">
        <v>172</v>
      </c>
      <c r="D161" s="9" t="s">
        <v>48</v>
      </c>
      <c r="E161" s="9" t="s">
        <v>40</v>
      </c>
      <c r="F161" s="9" t="s">
        <v>59</v>
      </c>
      <c r="G161" s="9" t="s">
        <v>346</v>
      </c>
      <c r="H161" s="9" t="s">
        <v>43</v>
      </c>
      <c r="I161" s="9" t="n">
        <v>7</v>
      </c>
      <c r="J161" s="9" t="n">
        <v>980.34</v>
      </c>
      <c r="K161" s="9" t="n">
        <v>0</v>
      </c>
      <c r="L161" s="9" t="n">
        <v>154.04</v>
      </c>
      <c r="M161" s="9" t="n">
        <v>2025</v>
      </c>
    </row>
    <row r="162" customFormat="false" ht="15" hidden="false" customHeight="true" outlineLevel="0" collapsed="false">
      <c r="A162" s="9" t="s">
        <v>323</v>
      </c>
      <c r="B162" s="9" t="s">
        <v>324</v>
      </c>
      <c r="C162" s="9" t="s">
        <v>63</v>
      </c>
      <c r="D162" s="9" t="s">
        <v>39</v>
      </c>
      <c r="E162" s="9" t="s">
        <v>49</v>
      </c>
      <c r="F162" s="9" t="s">
        <v>225</v>
      </c>
      <c r="G162" s="9" t="s">
        <v>325</v>
      </c>
      <c r="H162" s="9" t="s">
        <v>82</v>
      </c>
      <c r="I162" s="9" t="n">
        <v>1</v>
      </c>
      <c r="J162" s="9" t="n">
        <v>221.09</v>
      </c>
      <c r="K162" s="9" t="n">
        <v>0</v>
      </c>
      <c r="L162" s="9" t="n">
        <v>65.01</v>
      </c>
      <c r="M162" s="9" t="n">
        <v>2023</v>
      </c>
    </row>
    <row r="163" customFormat="false" ht="15" hidden="false" customHeight="true" outlineLevel="0" collapsed="false">
      <c r="A163" s="9" t="s">
        <v>314</v>
      </c>
      <c r="B163" s="9" t="s">
        <v>315</v>
      </c>
      <c r="C163" s="9" t="s">
        <v>128</v>
      </c>
      <c r="D163" s="9" t="s">
        <v>48</v>
      </c>
      <c r="E163" s="9" t="s">
        <v>40</v>
      </c>
      <c r="F163" s="9" t="s">
        <v>41</v>
      </c>
      <c r="G163" s="9" t="s">
        <v>316</v>
      </c>
      <c r="H163" s="9" t="s">
        <v>82</v>
      </c>
      <c r="I163" s="9" t="n">
        <v>2</v>
      </c>
      <c r="J163" s="9" t="n">
        <v>867.78</v>
      </c>
      <c r="K163" s="9" t="n">
        <v>0.1</v>
      </c>
      <c r="L163" s="9" t="n">
        <v>47.72</v>
      </c>
      <c r="M163" s="9" t="n">
        <v>2023</v>
      </c>
    </row>
    <row r="164" customFormat="false" ht="15" hidden="false" customHeight="true" outlineLevel="0" collapsed="false">
      <c r="A164" s="9" t="s">
        <v>340</v>
      </c>
      <c r="B164" s="9" t="s">
        <v>46</v>
      </c>
      <c r="C164" s="9" t="s">
        <v>165</v>
      </c>
      <c r="D164" s="9" t="s">
        <v>71</v>
      </c>
      <c r="E164" s="9" t="s">
        <v>65</v>
      </c>
      <c r="F164" s="9" t="s">
        <v>76</v>
      </c>
      <c r="G164" s="9" t="s">
        <v>77</v>
      </c>
      <c r="H164" s="9" t="s">
        <v>52</v>
      </c>
      <c r="I164" s="9" t="n">
        <v>7</v>
      </c>
      <c r="J164" s="9" t="n">
        <v>4155.48</v>
      </c>
      <c r="K164" s="9" t="n">
        <v>0.15</v>
      </c>
      <c r="L164" s="9" t="n">
        <v>678.24</v>
      </c>
      <c r="M164" s="9" t="n">
        <v>2025</v>
      </c>
    </row>
    <row r="165" customFormat="false" ht="15" hidden="false" customHeight="true" outlineLevel="0" collapsed="false">
      <c r="A165" s="9" t="s">
        <v>170</v>
      </c>
      <c r="B165" s="9" t="s">
        <v>171</v>
      </c>
      <c r="C165" s="9" t="s">
        <v>172</v>
      </c>
      <c r="D165" s="9" t="s">
        <v>71</v>
      </c>
      <c r="E165" s="9" t="s">
        <v>40</v>
      </c>
      <c r="F165" s="9" t="s">
        <v>173</v>
      </c>
      <c r="G165" s="9" t="s">
        <v>174</v>
      </c>
      <c r="H165" s="9" t="s">
        <v>43</v>
      </c>
      <c r="I165" s="9" t="n">
        <v>5</v>
      </c>
      <c r="J165" s="9" t="n">
        <v>439.1</v>
      </c>
      <c r="K165" s="9" t="n">
        <v>0</v>
      </c>
      <c r="L165" s="9" t="n">
        <v>79.51</v>
      </c>
      <c r="M165" s="9" t="n">
        <v>2024</v>
      </c>
    </row>
    <row r="166" customFormat="false" ht="15" hidden="false" customHeight="true" outlineLevel="0" collapsed="false">
      <c r="A166" s="9" t="s">
        <v>363</v>
      </c>
      <c r="B166" s="9" t="s">
        <v>364</v>
      </c>
      <c r="C166" s="9" t="s">
        <v>128</v>
      </c>
      <c r="D166" s="9" t="s">
        <v>71</v>
      </c>
      <c r="E166" s="9" t="s">
        <v>40</v>
      </c>
      <c r="F166" s="9" t="s">
        <v>41</v>
      </c>
      <c r="G166" s="9" t="s">
        <v>365</v>
      </c>
      <c r="H166" s="9" t="s">
        <v>43</v>
      </c>
      <c r="I166" s="9" t="n">
        <v>12</v>
      </c>
      <c r="J166" s="9" t="n">
        <v>3672.6</v>
      </c>
      <c r="K166" s="9" t="n">
        <v>0.3</v>
      </c>
      <c r="L166" s="9" t="n">
        <v>529.03</v>
      </c>
      <c r="M166" s="9" t="n">
        <v>2025</v>
      </c>
    </row>
    <row r="167" customFormat="false" ht="15" hidden="false" customHeight="true" outlineLevel="0" collapsed="false">
      <c r="A167" s="9" t="s">
        <v>212</v>
      </c>
      <c r="B167" s="9" t="s">
        <v>213</v>
      </c>
      <c r="C167" s="9" t="s">
        <v>128</v>
      </c>
      <c r="D167" s="9" t="s">
        <v>48</v>
      </c>
      <c r="E167" s="9" t="s">
        <v>65</v>
      </c>
      <c r="F167" s="9" t="s">
        <v>80</v>
      </c>
      <c r="G167" s="9" t="s">
        <v>81</v>
      </c>
      <c r="H167" s="9" t="s">
        <v>52</v>
      </c>
      <c r="I167" s="9" t="n">
        <v>6</v>
      </c>
      <c r="J167" s="9" t="n">
        <v>450.12</v>
      </c>
      <c r="K167" s="9" t="n">
        <v>0</v>
      </c>
      <c r="L167" s="9" t="n">
        <v>111.75</v>
      </c>
      <c r="M167" s="9" t="n">
        <v>2024</v>
      </c>
    </row>
    <row r="168" customFormat="false" ht="15" hidden="false" customHeight="true" outlineLevel="0" collapsed="false">
      <c r="A168" s="9" t="s">
        <v>256</v>
      </c>
      <c r="B168" s="9" t="s">
        <v>257</v>
      </c>
      <c r="C168" s="9" t="s">
        <v>128</v>
      </c>
      <c r="D168" s="9" t="s">
        <v>48</v>
      </c>
      <c r="E168" s="9" t="s">
        <v>49</v>
      </c>
      <c r="F168" s="9" t="s">
        <v>258</v>
      </c>
      <c r="G168" s="9" t="s">
        <v>259</v>
      </c>
      <c r="H168" s="9" t="s">
        <v>82</v>
      </c>
      <c r="I168" s="9" t="n">
        <v>6</v>
      </c>
      <c r="J168" s="9" t="n">
        <v>1659.42</v>
      </c>
      <c r="K168" s="9" t="n">
        <v>0.2</v>
      </c>
      <c r="L168" s="9" t="n">
        <v>412.88</v>
      </c>
      <c r="M168" s="9" t="n">
        <v>2025</v>
      </c>
    </row>
    <row r="169" customFormat="false" ht="15" hidden="false" customHeight="true" outlineLevel="0" collapsed="false">
      <c r="A169" s="9" t="s">
        <v>36</v>
      </c>
      <c r="B169" s="9" t="s">
        <v>37</v>
      </c>
      <c r="C169" s="9" t="s">
        <v>38</v>
      </c>
      <c r="D169" s="9" t="s">
        <v>39</v>
      </c>
      <c r="E169" s="9" t="s">
        <v>40</v>
      </c>
      <c r="F169" s="9" t="s">
        <v>41</v>
      </c>
      <c r="G169" s="9" t="s">
        <v>42</v>
      </c>
      <c r="H169" s="9" t="s">
        <v>43</v>
      </c>
      <c r="I169" s="9" t="n">
        <v>6</v>
      </c>
      <c r="J169" s="9" t="n">
        <v>1890.96</v>
      </c>
      <c r="K169" s="9" t="n">
        <v>0.2</v>
      </c>
      <c r="L169" s="9" t="n">
        <v>383.98</v>
      </c>
      <c r="M169" s="9" t="n">
        <v>2025</v>
      </c>
    </row>
    <row r="170" customFormat="false" ht="15" hidden="false" customHeight="true" outlineLevel="0" collapsed="false">
      <c r="A170" s="9" t="s">
        <v>167</v>
      </c>
      <c r="B170" s="9" t="s">
        <v>168</v>
      </c>
      <c r="C170" s="9" t="s">
        <v>38</v>
      </c>
      <c r="D170" s="9" t="s">
        <v>64</v>
      </c>
      <c r="E170" s="9" t="s">
        <v>65</v>
      </c>
      <c r="F170" s="9" t="s">
        <v>80</v>
      </c>
      <c r="G170" s="9" t="s">
        <v>169</v>
      </c>
      <c r="H170" s="9" t="s">
        <v>52</v>
      </c>
      <c r="I170" s="9" t="n">
        <v>11</v>
      </c>
      <c r="J170" s="9" t="n">
        <v>2522.3</v>
      </c>
      <c r="K170" s="9" t="n">
        <v>0.1</v>
      </c>
      <c r="L170" s="9" t="n">
        <v>760.11</v>
      </c>
      <c r="M170" s="9" t="n">
        <v>2024</v>
      </c>
    </row>
    <row r="171" customFormat="false" ht="15" hidden="false" customHeight="true" outlineLevel="0" collapsed="false">
      <c r="A171" s="9" t="s">
        <v>573</v>
      </c>
      <c r="B171" s="9" t="s">
        <v>574</v>
      </c>
      <c r="C171" s="9" t="s">
        <v>88</v>
      </c>
      <c r="D171" s="9" t="s">
        <v>48</v>
      </c>
      <c r="E171" s="9" t="s">
        <v>40</v>
      </c>
      <c r="F171" s="9" t="s">
        <v>173</v>
      </c>
      <c r="G171" s="9" t="s">
        <v>575</v>
      </c>
      <c r="H171" s="9" t="s">
        <v>82</v>
      </c>
      <c r="I171" s="9" t="n">
        <v>8</v>
      </c>
      <c r="J171" s="9" t="n">
        <v>3691.2</v>
      </c>
      <c r="K171" s="9" t="n">
        <v>0.15</v>
      </c>
      <c r="L171" s="9" t="n">
        <v>286.48</v>
      </c>
      <c r="M171" s="9" t="n">
        <v>2025</v>
      </c>
    </row>
    <row r="172" customFormat="false" ht="15" hidden="false" customHeight="true" outlineLevel="0" collapsed="false">
      <c r="A172" s="9" t="s">
        <v>465</v>
      </c>
      <c r="B172" s="9" t="s">
        <v>466</v>
      </c>
      <c r="C172" s="9" t="s">
        <v>102</v>
      </c>
      <c r="D172" s="9" t="s">
        <v>71</v>
      </c>
      <c r="E172" s="9" t="s">
        <v>49</v>
      </c>
      <c r="F172" s="9" t="s">
        <v>129</v>
      </c>
      <c r="G172" s="9" t="s">
        <v>467</v>
      </c>
      <c r="H172" s="9" t="s">
        <v>82</v>
      </c>
      <c r="I172" s="9" t="n">
        <v>1</v>
      </c>
      <c r="J172" s="9" t="n">
        <v>445.37</v>
      </c>
      <c r="K172" s="9" t="n">
        <v>0.1</v>
      </c>
      <c r="L172" s="9" t="n">
        <v>82.3</v>
      </c>
      <c r="M172" s="9" t="n">
        <v>2023</v>
      </c>
    </row>
    <row r="173" customFormat="false" ht="15" hidden="false" customHeight="true" outlineLevel="0" collapsed="false">
      <c r="A173" s="9" t="s">
        <v>482</v>
      </c>
      <c r="B173" s="9" t="s">
        <v>483</v>
      </c>
      <c r="C173" s="9" t="s">
        <v>70</v>
      </c>
      <c r="D173" s="9" t="s">
        <v>48</v>
      </c>
      <c r="E173" s="9" t="s">
        <v>65</v>
      </c>
      <c r="F173" s="9" t="s">
        <v>66</v>
      </c>
      <c r="G173" s="9" t="s">
        <v>484</v>
      </c>
      <c r="H173" s="9" t="s">
        <v>43</v>
      </c>
      <c r="I173" s="9" t="n">
        <v>12</v>
      </c>
      <c r="J173" s="9" t="n">
        <v>6613.68</v>
      </c>
      <c r="K173" s="9" t="n">
        <v>0.1</v>
      </c>
      <c r="L173" s="9" t="n">
        <v>655.07</v>
      </c>
      <c r="M173" s="9" t="n">
        <v>2024</v>
      </c>
    </row>
    <row r="174" customFormat="false" ht="15" hidden="false" customHeight="true" outlineLevel="0" collapsed="false">
      <c r="A174" s="9" t="s">
        <v>341</v>
      </c>
      <c r="B174" s="9" t="s">
        <v>342</v>
      </c>
      <c r="C174" s="9" t="s">
        <v>38</v>
      </c>
      <c r="D174" s="9" t="s">
        <v>48</v>
      </c>
      <c r="E174" s="9" t="s">
        <v>65</v>
      </c>
      <c r="F174" s="9" t="s">
        <v>80</v>
      </c>
      <c r="G174" s="9" t="s">
        <v>343</v>
      </c>
      <c r="H174" s="9" t="s">
        <v>52</v>
      </c>
      <c r="I174" s="9" t="n">
        <v>11</v>
      </c>
      <c r="J174" s="9" t="n">
        <v>2400.64</v>
      </c>
      <c r="K174" s="9" t="n">
        <v>0</v>
      </c>
      <c r="L174" s="9" t="n">
        <v>516.14</v>
      </c>
      <c r="M174" s="9" t="n">
        <v>2024</v>
      </c>
    </row>
    <row r="175" customFormat="false" ht="15" hidden="false" customHeight="true" outlineLevel="0" collapsed="false">
      <c r="A175" s="9" t="s">
        <v>543</v>
      </c>
      <c r="B175" s="9" t="s">
        <v>544</v>
      </c>
      <c r="C175" s="9" t="s">
        <v>88</v>
      </c>
      <c r="D175" s="9" t="s">
        <v>64</v>
      </c>
      <c r="E175" s="9" t="s">
        <v>49</v>
      </c>
      <c r="F175" s="9" t="s">
        <v>225</v>
      </c>
      <c r="G175" s="9" t="s">
        <v>545</v>
      </c>
      <c r="H175" s="9" t="s">
        <v>82</v>
      </c>
      <c r="I175" s="9" t="n">
        <v>4</v>
      </c>
      <c r="J175" s="9" t="n">
        <v>344</v>
      </c>
      <c r="K175" s="9" t="n">
        <v>0</v>
      </c>
      <c r="L175" s="9" t="n">
        <v>98.94</v>
      </c>
      <c r="M175" s="9" t="n">
        <v>2025</v>
      </c>
    </row>
    <row r="176" customFormat="false" ht="15" hidden="false" customHeight="true" outlineLevel="0" collapsed="false">
      <c r="A176" s="9" t="s">
        <v>570</v>
      </c>
      <c r="B176" s="9" t="s">
        <v>571</v>
      </c>
      <c r="C176" s="9" t="s">
        <v>58</v>
      </c>
      <c r="D176" s="9" t="s">
        <v>71</v>
      </c>
      <c r="E176" s="9" t="s">
        <v>49</v>
      </c>
      <c r="F176" s="9" t="s">
        <v>50</v>
      </c>
      <c r="G176" s="9" t="s">
        <v>572</v>
      </c>
      <c r="H176" s="9" t="s">
        <v>43</v>
      </c>
      <c r="I176" s="9" t="n">
        <v>10</v>
      </c>
      <c r="J176" s="9" t="n">
        <v>5322.8</v>
      </c>
      <c r="K176" s="9" t="n">
        <v>0</v>
      </c>
      <c r="L176" s="9" t="n">
        <v>760.03</v>
      </c>
      <c r="M176" s="9" t="n">
        <v>2023</v>
      </c>
    </row>
    <row r="177" customFormat="false" ht="15" hidden="false" customHeight="true" outlineLevel="0" collapsed="false">
      <c r="A177" s="9" t="s">
        <v>230</v>
      </c>
      <c r="B177" s="9" t="s">
        <v>135</v>
      </c>
      <c r="C177" s="9" t="s">
        <v>98</v>
      </c>
      <c r="D177" s="9" t="s">
        <v>48</v>
      </c>
      <c r="E177" s="9" t="s">
        <v>40</v>
      </c>
      <c r="F177" s="9" t="s">
        <v>41</v>
      </c>
      <c r="G177" s="9" t="s">
        <v>231</v>
      </c>
      <c r="H177" s="9" t="s">
        <v>82</v>
      </c>
      <c r="I177" s="9" t="n">
        <v>3</v>
      </c>
      <c r="J177" s="9" t="n">
        <v>1751.52</v>
      </c>
      <c r="K177" s="9" t="n">
        <v>0.2</v>
      </c>
      <c r="L177" s="9" t="n">
        <v>101.24</v>
      </c>
      <c r="M177" s="9" t="n">
        <v>2023</v>
      </c>
    </row>
    <row r="178" customFormat="false" ht="15" hidden="false" customHeight="true" outlineLevel="0" collapsed="false">
      <c r="A178" s="9" t="s">
        <v>287</v>
      </c>
      <c r="B178" s="9" t="s">
        <v>288</v>
      </c>
      <c r="C178" s="9" t="s">
        <v>113</v>
      </c>
      <c r="D178" s="9" t="s">
        <v>64</v>
      </c>
      <c r="E178" s="9" t="s">
        <v>40</v>
      </c>
      <c r="F178" s="9" t="s">
        <v>143</v>
      </c>
      <c r="G178" s="9" t="s">
        <v>289</v>
      </c>
      <c r="H178" s="9" t="s">
        <v>52</v>
      </c>
      <c r="I178" s="9" t="n">
        <v>9</v>
      </c>
      <c r="J178" s="9" t="n">
        <v>4929.93</v>
      </c>
      <c r="K178" s="9" t="n">
        <v>0</v>
      </c>
      <c r="L178" s="9" t="n">
        <v>1476.11</v>
      </c>
      <c r="M178" s="9" t="n">
        <v>2025</v>
      </c>
    </row>
    <row r="179" customFormat="false" ht="15" hidden="false" customHeight="true" outlineLevel="0" collapsed="false">
      <c r="A179" s="9" t="s">
        <v>61</v>
      </c>
      <c r="B179" s="9" t="s">
        <v>62</v>
      </c>
      <c r="C179" s="9" t="s">
        <v>63</v>
      </c>
      <c r="D179" s="9" t="s">
        <v>64</v>
      </c>
      <c r="E179" s="9" t="s">
        <v>65</v>
      </c>
      <c r="F179" s="9" t="s">
        <v>66</v>
      </c>
      <c r="G179" s="9" t="s">
        <v>67</v>
      </c>
      <c r="H179" s="9" t="s">
        <v>52</v>
      </c>
      <c r="I179" s="9" t="n">
        <v>6</v>
      </c>
      <c r="J179" s="9" t="n">
        <v>3415.68</v>
      </c>
      <c r="K179" s="9" t="n">
        <v>0.15</v>
      </c>
      <c r="L179" s="9" t="n">
        <v>924.65</v>
      </c>
      <c r="M179" s="9" t="n">
        <v>2024</v>
      </c>
    </row>
    <row r="180" customFormat="false" ht="15" hidden="false" customHeight="true" outlineLevel="0" collapsed="false">
      <c r="A180" s="9" t="s">
        <v>390</v>
      </c>
      <c r="B180" s="9" t="s">
        <v>391</v>
      </c>
      <c r="C180" s="9" t="s">
        <v>113</v>
      </c>
      <c r="D180" s="9" t="s">
        <v>71</v>
      </c>
      <c r="E180" s="9" t="s">
        <v>65</v>
      </c>
      <c r="F180" s="9" t="s">
        <v>66</v>
      </c>
      <c r="G180" s="9" t="s">
        <v>392</v>
      </c>
      <c r="H180" s="9" t="s">
        <v>52</v>
      </c>
      <c r="I180" s="9" t="n">
        <v>10</v>
      </c>
      <c r="J180" s="9" t="n">
        <v>3270.8</v>
      </c>
      <c r="K180" s="9" t="n">
        <v>0.15</v>
      </c>
      <c r="L180" s="9" t="n">
        <v>673.63</v>
      </c>
      <c r="M180" s="9" t="n">
        <v>2024</v>
      </c>
    </row>
    <row r="181" customFormat="false" ht="15" hidden="false" customHeight="true" outlineLevel="0" collapsed="false">
      <c r="A181" s="9" t="s">
        <v>443</v>
      </c>
      <c r="B181" s="9" t="s">
        <v>417</v>
      </c>
      <c r="C181" s="9" t="s">
        <v>172</v>
      </c>
      <c r="D181" s="9" t="s">
        <v>71</v>
      </c>
      <c r="E181" s="9" t="s">
        <v>40</v>
      </c>
      <c r="F181" s="9" t="s">
        <v>173</v>
      </c>
      <c r="G181" s="9" t="s">
        <v>444</v>
      </c>
      <c r="H181" s="9" t="s">
        <v>52</v>
      </c>
      <c r="I181" s="9" t="n">
        <v>2</v>
      </c>
      <c r="J181" s="9" t="n">
        <v>83.2</v>
      </c>
      <c r="K181" s="9" t="n">
        <v>0.2</v>
      </c>
      <c r="L181" s="9" t="n">
        <v>18.72</v>
      </c>
      <c r="M181" s="9" t="n">
        <v>2023</v>
      </c>
    </row>
    <row r="182" customFormat="false" ht="15" hidden="false" customHeight="true" outlineLevel="0" collapsed="false">
      <c r="A182" s="9" t="s">
        <v>524</v>
      </c>
      <c r="B182" s="9" t="s">
        <v>242</v>
      </c>
      <c r="C182" s="9" t="s">
        <v>47</v>
      </c>
      <c r="D182" s="9" t="s">
        <v>48</v>
      </c>
      <c r="E182" s="9" t="s">
        <v>40</v>
      </c>
      <c r="F182" s="9" t="s">
        <v>173</v>
      </c>
      <c r="G182" s="9" t="s">
        <v>525</v>
      </c>
      <c r="H182" s="9" t="s">
        <v>82</v>
      </c>
      <c r="I182" s="9" t="n">
        <v>11</v>
      </c>
      <c r="J182" s="9" t="n">
        <v>3675.76</v>
      </c>
      <c r="K182" s="9" t="n">
        <v>0.2</v>
      </c>
      <c r="L182" s="9" t="n">
        <v>990.97</v>
      </c>
      <c r="M182" s="9" t="n">
        <v>2025</v>
      </c>
    </row>
    <row r="183" customFormat="false" ht="15" hidden="false" customHeight="true" outlineLevel="0" collapsed="false">
      <c r="A183" s="9" t="s">
        <v>217</v>
      </c>
      <c r="B183" s="9" t="s">
        <v>218</v>
      </c>
      <c r="C183" s="9" t="s">
        <v>38</v>
      </c>
      <c r="D183" s="9" t="s">
        <v>48</v>
      </c>
      <c r="E183" s="9" t="s">
        <v>65</v>
      </c>
      <c r="F183" s="9" t="s">
        <v>80</v>
      </c>
      <c r="G183" s="9" t="s">
        <v>219</v>
      </c>
      <c r="H183" s="9" t="s">
        <v>43</v>
      </c>
      <c r="I183" s="9" t="n">
        <v>3</v>
      </c>
      <c r="J183" s="9" t="n">
        <v>816.51</v>
      </c>
      <c r="K183" s="9" t="n">
        <v>0.1</v>
      </c>
      <c r="L183" s="9" t="n">
        <v>139.13</v>
      </c>
      <c r="M183" s="9" t="n">
        <v>2023</v>
      </c>
    </row>
  </sheetData>
  <mergeCells count="6">
    <mergeCell ref="A1:M1"/>
    <mergeCell ref="O4:T4"/>
    <mergeCell ref="O5:T5"/>
    <mergeCell ref="O6:T6"/>
    <mergeCell ref="O7:T7"/>
    <mergeCell ref="O8:T8"/>
  </mergeCells>
  <conditionalFormatting sqref="J4:J183">
    <cfRule type="top10" priority="2" aboveAverage="0" equalAverage="0" bottom="0" percent="0" rank="10" text="" dxfId="0"/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6"/>
    <col collapsed="false" customWidth="true" hidden="false" outlineLevel="0" max="3" min="3" style="1" width="14"/>
  </cols>
  <sheetData>
    <row r="1" customFormat="false" ht="17.25" hidden="false" customHeight="true" outlineLevel="0" collapsed="false">
      <c r="A1" s="6" t="s">
        <v>609</v>
      </c>
      <c r="B1" s="6"/>
      <c r="C1" s="6"/>
      <c r="D1" s="6"/>
      <c r="E1" s="6"/>
      <c r="F1" s="6"/>
    </row>
    <row r="3" customFormat="false" ht="15" hidden="false" customHeight="true" outlineLevel="0" collapsed="false">
      <c r="A3" s="3" t="s">
        <v>610</v>
      </c>
    </row>
    <row r="4" customFormat="false" ht="15" hidden="false" customHeight="true" outlineLevel="0" collapsed="false">
      <c r="A4" s="7" t="s">
        <v>26</v>
      </c>
      <c r="B4" s="7" t="s">
        <v>611</v>
      </c>
    </row>
    <row r="5" customFormat="false" ht="15" hidden="false" customHeight="true" outlineLevel="0" collapsed="false">
      <c r="A5" s="14" t="s">
        <v>39</v>
      </c>
      <c r="B5" s="15" t="n">
        <f aca="false">SUMIF(Cleaned_Data!$D$4:$D$183,A5,Cleaned_Data!$J$4:$J$183)</f>
        <v>56137.42</v>
      </c>
    </row>
    <row r="6" customFormat="false" ht="15" hidden="false" customHeight="true" outlineLevel="0" collapsed="false">
      <c r="A6" s="14" t="s">
        <v>64</v>
      </c>
      <c r="B6" s="15" t="n">
        <f aca="false">SUMIF(Cleaned_Data!$D$4:$D$183,A6,Cleaned_Data!$J$4:$J$183)</f>
        <v>70673.32</v>
      </c>
    </row>
    <row r="7" customFormat="false" ht="15" hidden="false" customHeight="true" outlineLevel="0" collapsed="false">
      <c r="A7" s="14" t="s">
        <v>71</v>
      </c>
      <c r="B7" s="15" t="n">
        <f aca="false">SUMIF(Cleaned_Data!$D$4:$D$183,A7,Cleaned_Data!$J$4:$J$183)</f>
        <v>110459.44</v>
      </c>
    </row>
    <row r="8" customFormat="false" ht="15" hidden="false" customHeight="true" outlineLevel="0" collapsed="false">
      <c r="A8" s="14" t="s">
        <v>48</v>
      </c>
      <c r="B8" s="15" t="n">
        <f aca="false">SUMIF(Cleaned_Data!$D$4:$D$183,A8,Cleaned_Data!$J$4:$J$183)</f>
        <v>124852.41</v>
      </c>
    </row>
    <row r="9" customFormat="false" ht="15" hidden="false" customHeight="true" outlineLevel="0" collapsed="false">
      <c r="A9" s="16" t="s">
        <v>612</v>
      </c>
      <c r="B9" s="17" t="n">
        <f aca="false">SUM(B5:B8)</f>
        <v>362122.59</v>
      </c>
    </row>
    <row r="11" customFormat="false" ht="15" hidden="false" customHeight="true" outlineLevel="0" collapsed="false">
      <c r="A11" s="3" t="s">
        <v>613</v>
      </c>
    </row>
    <row r="12" customFormat="false" ht="15" hidden="false" customHeight="true" outlineLevel="0" collapsed="false">
      <c r="A12" s="7" t="s">
        <v>614</v>
      </c>
      <c r="B12" s="7" t="s">
        <v>32</v>
      </c>
      <c r="C12" s="7" t="s">
        <v>31</v>
      </c>
    </row>
    <row r="13" customFormat="false" ht="15" hidden="false" customHeight="true" outlineLevel="0" collapsed="false">
      <c r="A13" s="14" t="s">
        <v>615</v>
      </c>
      <c r="B13" s="15" t="n">
        <f aca="false">AVERAGE(Cleaned_Data!$J$4:$J$183)</f>
        <v>2011.79216666667</v>
      </c>
      <c r="C13" s="18" t="n">
        <f aca="false">AVERAGE(Cleaned_Data!$I$4:$I$183)</f>
        <v>6.6</v>
      </c>
    </row>
    <row r="14" customFormat="false" ht="15" hidden="false" customHeight="true" outlineLevel="0" collapsed="false">
      <c r="A14" s="14" t="s">
        <v>616</v>
      </c>
      <c r="B14" s="15" t="n">
        <f aca="false">MEDIAN(Cleaned_Data!$J$4:$J$183)</f>
        <v>1454.96</v>
      </c>
      <c r="C14" s="18" t="n">
        <f aca="false">MEDIAN(Cleaned_Data!$I$4:$I$183)</f>
        <v>7</v>
      </c>
    </row>
    <row r="15" customFormat="false" ht="15" hidden="false" customHeight="true" outlineLevel="0" collapsed="false">
      <c r="A15" s="14" t="s">
        <v>617</v>
      </c>
      <c r="B15" s="15" t="n">
        <f aca="false">MODE(Cleaned_Data!$J$4:$J$183)</f>
        <v>1454.96</v>
      </c>
      <c r="C15" s="18" t="n">
        <f aca="false">MODE(Cleaned_Data!$I$4:$I$183)</f>
        <v>7</v>
      </c>
    </row>
    <row r="18" customFormat="false" ht="15" hidden="false" customHeight="true" outlineLevel="0" collapsed="false">
      <c r="A18" s="3" t="s">
        <v>618</v>
      </c>
    </row>
    <row r="19" customFormat="false" ht="15" hidden="false" customHeight="true" outlineLevel="0" collapsed="false">
      <c r="A19" s="7" t="s">
        <v>27</v>
      </c>
      <c r="B19" s="7" t="s">
        <v>619</v>
      </c>
    </row>
    <row r="20" customFormat="false" ht="15" hidden="false" customHeight="true" outlineLevel="0" collapsed="false">
      <c r="A20" s="14" t="s">
        <v>65</v>
      </c>
      <c r="B20" s="15" t="n">
        <f aca="false">SUMIF(Cleaned_Data!$E$4:$E$183,A20,Cleaned_Data!$J$4:$J$183)</f>
        <v>150849.74</v>
      </c>
    </row>
    <row r="21" customFormat="false" ht="15" hidden="false" customHeight="true" outlineLevel="0" collapsed="false">
      <c r="A21" s="14" t="s">
        <v>49</v>
      </c>
      <c r="B21" s="15" t="n">
        <f aca="false">SUMIF(Cleaned_Data!$E$4:$E$183,A21,Cleaned_Data!$J$4:$J$183)</f>
        <v>109018.16</v>
      </c>
    </row>
    <row r="22" customFormat="false" ht="15" hidden="false" customHeight="true" outlineLevel="0" collapsed="false">
      <c r="A22" s="14" t="s">
        <v>40</v>
      </c>
      <c r="B22" s="15" t="n">
        <f aca="false">SUMIF(Cleaned_Data!$E$4:$E$183,A22,Cleaned_Data!$J$4:$J$183)</f>
        <v>102254.69</v>
      </c>
    </row>
    <row r="24" customFormat="false" ht="15" hidden="false" customHeight="true" outlineLevel="0" collapsed="false">
      <c r="A24" s="3" t="s">
        <v>620</v>
      </c>
    </row>
    <row r="25" customFormat="false" ht="15" hidden="false" customHeight="true" outlineLevel="0" collapsed="false">
      <c r="A25" s="16" t="s">
        <v>621</v>
      </c>
      <c r="B25" s="17" t="n">
        <f aca="false">SUM(Cleaned_Data!$J$4:$J$183)</f>
        <v>362122.59</v>
      </c>
    </row>
    <row r="26" customFormat="false" ht="15" hidden="false" customHeight="true" outlineLevel="0" collapsed="false">
      <c r="A26" s="16" t="s">
        <v>622</v>
      </c>
      <c r="B26" s="17" t="n">
        <f aca="false">SUM(Cleaned_Data!$L$4:$L$183)</f>
        <v>63640.54</v>
      </c>
    </row>
    <row r="27" customFormat="false" ht="15" hidden="false" customHeight="true" outlineLevel="0" collapsed="false">
      <c r="A27" s="16" t="s">
        <v>623</v>
      </c>
      <c r="B27" s="16" t="n">
        <f aca="false">COUNTA(Cleaned_Data!$J$4:$J$183)</f>
        <v>180</v>
      </c>
    </row>
    <row r="29" customFormat="false" ht="15" hidden="false" customHeight="true" outlineLevel="0" collapsed="false">
      <c r="A29" s="3" t="s">
        <v>624</v>
      </c>
    </row>
    <row r="30" customFormat="false" ht="15" hidden="false" customHeight="true" outlineLevel="0" collapsed="false">
      <c r="A30" s="7" t="s">
        <v>601</v>
      </c>
      <c r="B30" s="7" t="s">
        <v>611</v>
      </c>
    </row>
    <row r="31" customFormat="false" ht="15" hidden="false" customHeight="true" outlineLevel="0" collapsed="false">
      <c r="A31" s="14" t="n">
        <v>2023</v>
      </c>
      <c r="B31" s="15" t="n">
        <f aca="false">SUMIF(Cleaned_Data!$M$4:$M$183,A31,Cleaned_Data!$J$4:$J$183)</f>
        <v>129909.33</v>
      </c>
    </row>
    <row r="32" customFormat="false" ht="15" hidden="false" customHeight="true" outlineLevel="0" collapsed="false">
      <c r="A32" s="14" t="n">
        <v>2024</v>
      </c>
      <c r="B32" s="15" t="n">
        <f aca="false">SUMIF(Cleaned_Data!$M$4:$M$183,A32,Cleaned_Data!$J$4:$J$183)</f>
        <v>126611.87</v>
      </c>
    </row>
    <row r="33" customFormat="false" ht="15" hidden="false" customHeight="true" outlineLevel="0" collapsed="false">
      <c r="A33" s="14" t="n">
        <v>2025</v>
      </c>
      <c r="B33" s="15" t="n">
        <f aca="false">SUMIF(Cleaned_Data!$M$4:$M$183,A33,Cleaned_Data!$J$4:$J$183)</f>
        <v>105601.39</v>
      </c>
    </row>
    <row r="35" customFormat="false" ht="15" hidden="false" customHeight="true" outlineLevel="0" collapsed="false">
      <c r="A35" s="3" t="s">
        <v>625</v>
      </c>
    </row>
    <row r="36" customFormat="false" ht="15" hidden="false" customHeight="true" outlineLevel="0" collapsed="false">
      <c r="A36" s="7" t="s">
        <v>30</v>
      </c>
      <c r="B36" s="7" t="s">
        <v>619</v>
      </c>
    </row>
    <row r="37" customFormat="false" ht="15" hidden="false" customHeight="true" outlineLevel="0" collapsed="false">
      <c r="A37" s="14" t="s">
        <v>52</v>
      </c>
      <c r="B37" s="15" t="n">
        <f aca="false">SUMIF(Cleaned_Data!$H$4:$H$183,A37,Cleaned_Data!$J$4:$J$183)</f>
        <v>125133.22</v>
      </c>
    </row>
    <row r="38" customFormat="false" ht="15" hidden="false" customHeight="true" outlineLevel="0" collapsed="false">
      <c r="A38" s="14" t="s">
        <v>43</v>
      </c>
      <c r="B38" s="15" t="n">
        <f aca="false">SUMIF(Cleaned_Data!$H$4:$H$183,A38,Cleaned_Data!$J$4:$J$183)</f>
        <v>122763.72</v>
      </c>
    </row>
    <row r="39" customFormat="false" ht="15" hidden="false" customHeight="true" outlineLevel="0" collapsed="false">
      <c r="A39" s="14" t="s">
        <v>82</v>
      </c>
      <c r="B39" s="15" t="n">
        <f aca="false">SUMIF(Cleaned_Data!$H$4:$H$183,A39,Cleaned_Data!$J$4:$J$183)</f>
        <v>114225.65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7.25" hidden="false" customHeight="true" outlineLevel="0" collapsed="false">
      <c r="A1" s="19" t="s">
        <v>626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2026-09-06T06:30:53Z</dcterms:created>
  <dc:creator>openpyxl</dc:creator>
  <dc:description/>
  <dc:language>en-US</dc:language>
  <cp:lastModifiedBy/>
  <dcterms:modified xsi:type="dcterms:W3CDTF">2026-09-06T06:32:15Z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